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slicers/slicer2.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tables/table4.xml" ContentType="application/vnd.openxmlformats-officedocument.spreadsheetml.table+xml"/>
  <Override PartName="/xl/slicers/slicer3.xml" ContentType="application/vnd.ms-excel.slicer+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slicers/slicer4.xml" ContentType="application/vnd.ms-excel.slicer+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charts/chart27.xml" ContentType="application/vnd.openxmlformats-officedocument.drawingml.chart+xml"/>
  <Override PartName="/xl/charts/style29.xml" ContentType="application/vnd.ms-office.chartstyle+xml"/>
  <Override PartName="/xl/charts/colors29.xml" ContentType="application/vnd.ms-office.chartcolorstyle+xml"/>
  <Override PartName="/xl/charts/chart28.xml" ContentType="application/vnd.openxmlformats-officedocument.drawingml.chart+xml"/>
  <Override PartName="/xl/charts/style30.xml" ContentType="application/vnd.ms-office.chartstyle+xml"/>
  <Override PartName="/xl/charts/colors30.xml" ContentType="application/vnd.ms-office.chartcolorstyle+xml"/>
  <Override PartName="/xl/charts/chart29.xml" ContentType="application/vnd.openxmlformats-officedocument.drawingml.chart+xml"/>
  <Override PartName="/xl/charts/style31.xml" ContentType="application/vnd.ms-office.chartstyle+xml"/>
  <Override PartName="/xl/charts/colors31.xml" ContentType="application/vnd.ms-office.chartcolorstyle+xml"/>
  <Override PartName="/xl/charts/chart30.xml" ContentType="application/vnd.openxmlformats-officedocument.drawingml.chart+xml"/>
  <Override PartName="/xl/charts/style32.xml" ContentType="application/vnd.ms-office.chartstyle+xml"/>
  <Override PartName="/xl/charts/colors32.xml" ContentType="application/vnd.ms-office.chartcolorstyle+xml"/>
  <Override PartName="/xl/charts/chart31.xml" ContentType="application/vnd.openxmlformats-officedocument.drawingml.chart+xml"/>
  <Override PartName="/xl/charts/style33.xml" ContentType="application/vnd.ms-office.chartstyle+xml"/>
  <Override PartName="/xl/charts/colors33.xml" ContentType="application/vnd.ms-office.chartcolorstyle+xml"/>
  <Override PartName="/xl/charts/chart32.xml" ContentType="application/vnd.openxmlformats-officedocument.drawingml.chart+xml"/>
  <Override PartName="/xl/charts/style34.xml" ContentType="application/vnd.ms-office.chartstyle+xml"/>
  <Override PartName="/xl/charts/colors3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ocuments\stats nitin sir project\"/>
    </mc:Choice>
  </mc:AlternateContent>
  <xr:revisionPtr revIDLastSave="0" documentId="13_ncr:1_{ADD7FC2C-6050-4B36-B8FE-14B61F2868B7}" xr6:coauthVersionLast="47" xr6:coauthVersionMax="47" xr10:uidLastSave="{00000000-0000-0000-0000-000000000000}"/>
  <bookViews>
    <workbookView xWindow="-110" yWindow="-110" windowWidth="19420" windowHeight="10300" activeTab="3" xr2:uid="{60850186-AF95-4CC2-80A3-49CD7A8BF0EB}"/>
  </bookViews>
  <sheets>
    <sheet name="Surviving Children " sheetId="1" r:id="rId1"/>
    <sheet name="Population" sheetId="3" r:id="rId2"/>
    <sheet name="Education" sheetId="4" r:id="rId3"/>
    <sheet name="Marital Status" sheetId="2" r:id="rId4"/>
    <sheet name="DASHBOARD" sheetId="5" r:id="rId5"/>
  </sheets>
  <definedNames>
    <definedName name="_xlnm._FilterDatabase" localSheetId="0" hidden="1">'Surviving Children '!$C$3:$C$67</definedName>
    <definedName name="_xlchart.v1.0" hidden="1">'Surviving Children '!$H$4:$H$63</definedName>
    <definedName name="_xlchart.v1.1" hidden="1">'Surviving Children '!$G$3</definedName>
    <definedName name="_xlchart.v1.2" hidden="1">'Surviving Children '!$G$4:$G$63</definedName>
    <definedName name="Slicer_Age_Group">#N/A</definedName>
    <definedName name="Slicer_Educational_Level">#N/A</definedName>
    <definedName name="Slicer_Marital_Status">#N/A</definedName>
    <definedName name="Slicer_Urban_Rural">#N/A</definedName>
  </definedNames>
  <calcPr calcId="191029"/>
  <pivotCaches>
    <pivotCache cacheId="0" r:id="rId6"/>
    <pivotCache cacheId="1" r:id="rId7"/>
    <pivotCache cacheId="2" r:id="rId8"/>
    <pivotCache cacheId="3"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8" i="2" l="1"/>
  <c r="Y18" i="2"/>
  <c r="F35" i="2"/>
  <c r="H47" i="2" l="1"/>
  <c r="Y11" i="2" l="1"/>
  <c r="C52" i="2"/>
  <c r="C51" i="2"/>
  <c r="C50" i="2"/>
  <c r="C49" i="2"/>
  <c r="C48" i="2"/>
  <c r="C47" i="2"/>
  <c r="C46" i="2"/>
  <c r="C45" i="2"/>
  <c r="C44" i="2"/>
  <c r="C43" i="2"/>
  <c r="C42" i="2"/>
  <c r="C41" i="2"/>
  <c r="F17" i="2"/>
  <c r="F4" i="2"/>
  <c r="F5" i="2"/>
  <c r="F6" i="2"/>
  <c r="F7" i="2"/>
  <c r="Y7" i="2" s="1"/>
  <c r="F8" i="2"/>
  <c r="F9" i="2"/>
  <c r="F10" i="2"/>
  <c r="F11" i="2"/>
  <c r="F12" i="2"/>
  <c r="F13" i="2"/>
  <c r="F14" i="2"/>
  <c r="F15" i="2"/>
  <c r="Y15" i="2" s="1"/>
  <c r="F16" i="2"/>
  <c r="C37" i="2"/>
  <c r="C34" i="2"/>
  <c r="X4" i="2"/>
  <c r="X5" i="2"/>
  <c r="X6" i="2"/>
  <c r="X7" i="2"/>
  <c r="X8" i="2"/>
  <c r="X9" i="2"/>
  <c r="X10" i="2"/>
  <c r="X11" i="2"/>
  <c r="X12" i="2"/>
  <c r="X13" i="2"/>
  <c r="X14" i="2"/>
  <c r="X15" i="2"/>
  <c r="X16" i="2"/>
  <c r="X17" i="2"/>
  <c r="U4" i="2"/>
  <c r="U5" i="2"/>
  <c r="U6" i="2"/>
  <c r="U7" i="2"/>
  <c r="U8" i="2"/>
  <c r="U9" i="2"/>
  <c r="U10" i="2"/>
  <c r="U11" i="2"/>
  <c r="U12" i="2"/>
  <c r="U13" i="2"/>
  <c r="U14" i="2"/>
  <c r="U15" i="2"/>
  <c r="U16" i="2"/>
  <c r="U17" i="2"/>
  <c r="R4" i="2"/>
  <c r="R5" i="2"/>
  <c r="R6" i="2"/>
  <c r="R7" i="2"/>
  <c r="R8" i="2"/>
  <c r="R9" i="2"/>
  <c r="R10" i="2"/>
  <c r="R11" i="2"/>
  <c r="R12" i="2"/>
  <c r="R13" i="2"/>
  <c r="R14" i="2"/>
  <c r="R15" i="2"/>
  <c r="R16" i="2"/>
  <c r="R17" i="2"/>
  <c r="O4" i="2"/>
  <c r="O5" i="2"/>
  <c r="O6" i="2"/>
  <c r="O7" i="2"/>
  <c r="O8" i="2"/>
  <c r="O9" i="2"/>
  <c r="O10" i="2"/>
  <c r="O11" i="2"/>
  <c r="O12" i="2"/>
  <c r="O13" i="2"/>
  <c r="O14" i="2"/>
  <c r="O15" i="2"/>
  <c r="O16" i="2"/>
  <c r="O17" i="2"/>
  <c r="L4" i="2"/>
  <c r="C35" i="2" s="1"/>
  <c r="L5" i="2"/>
  <c r="L6" i="2"/>
  <c r="L7" i="2"/>
  <c r="L8" i="2"/>
  <c r="L9" i="2"/>
  <c r="L10" i="2"/>
  <c r="L11" i="2"/>
  <c r="L12" i="2"/>
  <c r="L13" i="2"/>
  <c r="L14" i="2"/>
  <c r="L15" i="2"/>
  <c r="L16" i="2"/>
  <c r="L17" i="2"/>
  <c r="I4" i="2"/>
  <c r="I5" i="2"/>
  <c r="I6" i="2"/>
  <c r="I7" i="2"/>
  <c r="I8" i="2"/>
  <c r="I9" i="2"/>
  <c r="I10" i="2"/>
  <c r="I11" i="2"/>
  <c r="I12" i="2"/>
  <c r="I13" i="2"/>
  <c r="I14" i="2"/>
  <c r="I15" i="2"/>
  <c r="I16" i="2"/>
  <c r="I17" i="2"/>
  <c r="D22" i="4"/>
  <c r="N17" i="4"/>
  <c r="N16" i="4"/>
  <c r="N15" i="4"/>
  <c r="N14" i="4"/>
  <c r="N13" i="4"/>
  <c r="N12" i="4"/>
  <c r="N11" i="4"/>
  <c r="N10" i="4"/>
  <c r="N9" i="4"/>
  <c r="N8" i="4"/>
  <c r="N7" i="4"/>
  <c r="N6" i="4"/>
  <c r="N5" i="4"/>
  <c r="N4" i="4"/>
  <c r="M4" i="4"/>
  <c r="M5" i="4"/>
  <c r="M6" i="4"/>
  <c r="M7" i="4"/>
  <c r="M8" i="4"/>
  <c r="M9" i="4"/>
  <c r="M10" i="4"/>
  <c r="M11" i="4"/>
  <c r="M12" i="4"/>
  <c r="M13" i="4"/>
  <c r="M14" i="4"/>
  <c r="M15" i="4"/>
  <c r="M16" i="4"/>
  <c r="M17" i="4"/>
  <c r="I4" i="4"/>
  <c r="O4" i="4" s="1"/>
  <c r="I5" i="4"/>
  <c r="P5" i="4" s="1"/>
  <c r="I6" i="4"/>
  <c r="O6" i="4" s="1"/>
  <c r="I7" i="4"/>
  <c r="O7" i="4" s="1"/>
  <c r="I8" i="4"/>
  <c r="O8" i="4" s="1"/>
  <c r="I9" i="4"/>
  <c r="P9" i="4" s="1"/>
  <c r="I10" i="4"/>
  <c r="P10" i="4" s="1"/>
  <c r="I11" i="4"/>
  <c r="P11" i="4" s="1"/>
  <c r="I12" i="4"/>
  <c r="O12" i="4" s="1"/>
  <c r="I13" i="4"/>
  <c r="P13" i="4" s="1"/>
  <c r="I14" i="4"/>
  <c r="O14" i="4" s="1"/>
  <c r="I15" i="4"/>
  <c r="O15" i="4" s="1"/>
  <c r="I16" i="4"/>
  <c r="I17" i="4"/>
  <c r="P17" i="4" s="1"/>
  <c r="F4" i="4"/>
  <c r="F5" i="4"/>
  <c r="F6" i="4"/>
  <c r="F7" i="4"/>
  <c r="F8" i="4"/>
  <c r="F9" i="4"/>
  <c r="F10" i="4"/>
  <c r="F11" i="4"/>
  <c r="F12" i="4"/>
  <c r="F13" i="4"/>
  <c r="F14" i="4"/>
  <c r="F15" i="4"/>
  <c r="F16" i="4"/>
  <c r="F17" i="4"/>
  <c r="L12" i="4"/>
  <c r="K4" i="4"/>
  <c r="K5" i="4"/>
  <c r="K6" i="4"/>
  <c r="K7" i="4"/>
  <c r="K8" i="4"/>
  <c r="K9" i="4"/>
  <c r="K10" i="4"/>
  <c r="K11" i="4"/>
  <c r="K12" i="4"/>
  <c r="K13" i="4"/>
  <c r="K14" i="4"/>
  <c r="K15" i="4"/>
  <c r="K16" i="4"/>
  <c r="K17" i="4"/>
  <c r="J4" i="4"/>
  <c r="J5" i="4"/>
  <c r="J6" i="4"/>
  <c r="J7" i="4"/>
  <c r="J8" i="4"/>
  <c r="J9" i="4"/>
  <c r="J10" i="4"/>
  <c r="J11" i="4"/>
  <c r="J12" i="4"/>
  <c r="J13" i="4"/>
  <c r="J14" i="4"/>
  <c r="J15" i="4"/>
  <c r="J16" i="4"/>
  <c r="J17" i="4"/>
  <c r="I4" i="3"/>
  <c r="I5" i="3"/>
  <c r="I12" i="3"/>
  <c r="I13" i="3"/>
  <c r="D18" i="3"/>
  <c r="G4" i="3"/>
  <c r="G5" i="3"/>
  <c r="G6" i="3"/>
  <c r="G7" i="3"/>
  <c r="G8" i="3"/>
  <c r="G9" i="3"/>
  <c r="G10" i="3"/>
  <c r="G11" i="3"/>
  <c r="G12" i="3"/>
  <c r="G13" i="3"/>
  <c r="F4" i="3"/>
  <c r="H4" i="3" s="1"/>
  <c r="F5" i="3"/>
  <c r="H5" i="3" s="1"/>
  <c r="F6" i="3"/>
  <c r="H6" i="3" s="1"/>
  <c r="F7" i="3"/>
  <c r="H7" i="3" s="1"/>
  <c r="F8" i="3"/>
  <c r="H8" i="3" s="1"/>
  <c r="F9" i="3"/>
  <c r="H9" i="3" s="1"/>
  <c r="F10" i="3"/>
  <c r="H10" i="3" s="1"/>
  <c r="F11" i="3"/>
  <c r="D17" i="3" s="1"/>
  <c r="F12" i="3"/>
  <c r="H12" i="3" s="1"/>
  <c r="F13" i="3"/>
  <c r="H13" i="3" s="1"/>
  <c r="D77" i="1"/>
  <c r="D76" i="1"/>
  <c r="D75" i="1"/>
  <c r="D74" i="1"/>
  <c r="D73" i="1"/>
  <c r="G66" i="1"/>
  <c r="H66" i="1"/>
  <c r="F66" i="1"/>
  <c r="E66"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4" i="1"/>
  <c r="I66" i="1" s="1"/>
  <c r="Y14" i="2" l="1"/>
  <c r="Y13" i="2"/>
  <c r="F36" i="2" s="1"/>
  <c r="Y5" i="2"/>
  <c r="Y12" i="2"/>
  <c r="Y4" i="2"/>
  <c r="Y6" i="2"/>
  <c r="Y17" i="2"/>
  <c r="Y10" i="2"/>
  <c r="Y9" i="2"/>
  <c r="Y16" i="2"/>
  <c r="Y8" i="2"/>
  <c r="L16" i="4"/>
  <c r="O10" i="4"/>
  <c r="D21" i="4"/>
  <c r="C36" i="2"/>
  <c r="C33" i="2"/>
  <c r="C38" i="2"/>
  <c r="C39" i="2"/>
  <c r="P15" i="4"/>
  <c r="P12" i="4"/>
  <c r="P7" i="4"/>
  <c r="P4" i="4"/>
  <c r="O11" i="4"/>
  <c r="P16" i="4"/>
  <c r="P8" i="4"/>
  <c r="P14" i="4"/>
  <c r="P6" i="4"/>
  <c r="L11" i="4"/>
  <c r="L17" i="4"/>
  <c r="L9" i="4"/>
  <c r="O17" i="4"/>
  <c r="O9" i="4"/>
  <c r="O16" i="4"/>
  <c r="L13" i="4"/>
  <c r="L5" i="4"/>
  <c r="O13" i="4"/>
  <c r="O5" i="4"/>
  <c r="L10" i="4"/>
  <c r="L14" i="4"/>
  <c r="L6" i="4"/>
  <c r="L4" i="4"/>
  <c r="L15" i="4"/>
  <c r="L8" i="4"/>
  <c r="L7" i="4"/>
  <c r="I10" i="3"/>
  <c r="D16" i="3"/>
  <c r="I11" i="3"/>
  <c r="I9" i="3"/>
  <c r="I8" i="3"/>
  <c r="I7" i="3"/>
  <c r="I6" i="3"/>
  <c r="H11" i="3"/>
  <c r="D70" i="1"/>
  <c r="D69" i="1"/>
  <c r="D72" i="1"/>
  <c r="D71" i="1"/>
  <c r="D25" i="2" l="1"/>
  <c r="D31" i="2"/>
  <c r="D21" i="2"/>
  <c r="D23" i="2"/>
  <c r="D27" i="2"/>
  <c r="D29" i="2"/>
  <c r="D30" i="2"/>
  <c r="D20" i="2"/>
  <c r="D24" i="2"/>
  <c r="D26" i="2"/>
  <c r="D28" i="2"/>
  <c r="D22" i="2"/>
</calcChain>
</file>

<file path=xl/sharedStrings.xml><?xml version="1.0" encoding="utf-8"?>
<sst xmlns="http://schemas.openxmlformats.org/spreadsheetml/2006/main" count="596" uniqueCount="173">
  <si>
    <t>Lucknow</t>
  </si>
  <si>
    <t xml:space="preserve">Area Name
</t>
  </si>
  <si>
    <t>Rural</t>
  </si>
  <si>
    <t>Urban</t>
  </si>
  <si>
    <t>Urban/ Rural</t>
  </si>
  <si>
    <t>Illiterate</t>
  </si>
  <si>
    <t>Literate</t>
  </si>
  <si>
    <t>15-19</t>
  </si>
  <si>
    <t>20-24</t>
  </si>
  <si>
    <t>25-29</t>
  </si>
  <si>
    <t>30-34</t>
  </si>
  <si>
    <t>35-59</t>
  </si>
  <si>
    <t>60+</t>
  </si>
  <si>
    <t>Educational Level</t>
  </si>
  <si>
    <t>Less than 15</t>
  </si>
  <si>
    <t>35-39</t>
  </si>
  <si>
    <t>40-44</t>
  </si>
  <si>
    <t>45-49</t>
  </si>
  <si>
    <t>50-54</t>
  </si>
  <si>
    <t>55-59</t>
  </si>
  <si>
    <t>60-64</t>
  </si>
  <si>
    <t>65-69</t>
  </si>
  <si>
    <t>70-74</t>
  </si>
  <si>
    <t>75-79</t>
  </si>
  <si>
    <t>80+</t>
  </si>
  <si>
    <t>Total Women</t>
  </si>
  <si>
    <t>Total ever married women</t>
  </si>
  <si>
    <t>Total no. of surviving children (Male)</t>
  </si>
  <si>
    <t>Total no. of surviving children (Female)</t>
  </si>
  <si>
    <t>Total</t>
  </si>
  <si>
    <t>Total Surviving Children</t>
  </si>
  <si>
    <t>Present Age of women</t>
  </si>
  <si>
    <t>Age Group</t>
  </si>
  <si>
    <t xml:space="preserve">Male Population </t>
  </si>
  <si>
    <t>Female Population</t>
  </si>
  <si>
    <t>Total Population</t>
  </si>
  <si>
    <t>Population attending educational institution (Male)</t>
  </si>
  <si>
    <t>Population attending educational institution (Female)</t>
  </si>
  <si>
    <t>Never married</t>
  </si>
  <si>
    <t>Married</t>
  </si>
  <si>
    <t>Widowed</t>
  </si>
  <si>
    <t>Separated</t>
  </si>
  <si>
    <t>Divorced</t>
  </si>
  <si>
    <t>Unspecified</t>
  </si>
  <si>
    <t>MARITAL STATUS BY RELIGIOUS COMMUNITY AND SEX - 2011</t>
  </si>
  <si>
    <t>Marital Status</t>
  </si>
  <si>
    <t>Urban/Rural</t>
  </si>
  <si>
    <t>NUMBER OF WOMEN AND EVER MARRIED WOMEN BY PRESENT AGE, EDUCATIONAL LEVEL, TOTAL NUMBER OF SURVIVING CHILDREN-2011</t>
  </si>
  <si>
    <t>POPULATION ON THE BASIS OF URBAN/ RURAL AND AGE GROUP-2011</t>
  </si>
  <si>
    <t>POPULATION ATTENDING EDUCATIONAL INSTITUTE-2011</t>
  </si>
  <si>
    <t>Total Hindu Male Population</t>
  </si>
  <si>
    <t>Total Hindu Female Population</t>
  </si>
  <si>
    <t>Total Hindu Population</t>
  </si>
  <si>
    <t>Total Muslim Male Population</t>
  </si>
  <si>
    <t>Total Buddhist Male Population</t>
  </si>
  <si>
    <t>Total Christian Male Population</t>
  </si>
  <si>
    <t>Total  Sikh Male Population</t>
  </si>
  <si>
    <t>Tota Jain Male Population</t>
  </si>
  <si>
    <t>Other Male Population</t>
  </si>
  <si>
    <t>Total Muslim Female Population</t>
  </si>
  <si>
    <t>Total Muslim Population</t>
  </si>
  <si>
    <t>Total Christian Female Population</t>
  </si>
  <si>
    <t>Total Christian Population</t>
  </si>
  <si>
    <t>Total  Sikh Female Population</t>
  </si>
  <si>
    <t>Total  Sikh Population</t>
  </si>
  <si>
    <t>Total Buddhist Female Population</t>
  </si>
  <si>
    <t>Total Buddhist Population</t>
  </si>
  <si>
    <t>Tota Jain Female Population</t>
  </si>
  <si>
    <t>Tota Jain Population</t>
  </si>
  <si>
    <t>Other Female Population</t>
  </si>
  <si>
    <t>Other Population</t>
  </si>
  <si>
    <t>Area Name</t>
  </si>
  <si>
    <t>Total women ever married</t>
  </si>
  <si>
    <t>Total Surviving children</t>
  </si>
  <si>
    <t>Total Male</t>
  </si>
  <si>
    <t>Total Female</t>
  </si>
  <si>
    <t>Average Surviving Children per Ever-Married Woman</t>
  </si>
  <si>
    <r>
      <rPr>
        <b/>
        <sz val="10"/>
        <color theme="1"/>
        <rFont val="Calibri"/>
        <family val="2"/>
        <scheme val="minor"/>
      </rPr>
      <t>Average</t>
    </r>
    <r>
      <rPr>
        <sz val="10"/>
        <color theme="1"/>
        <rFont val="Calibri"/>
        <family val="2"/>
        <scheme val="minor"/>
      </rPr>
      <t xml:space="preserve"> Surviving Children per Woman</t>
    </r>
  </si>
  <si>
    <r>
      <t>Gender Distribution of Surviving Children</t>
    </r>
    <r>
      <rPr>
        <b/>
        <sz val="10"/>
        <color theme="1"/>
        <rFont val="Calibri"/>
        <family val="2"/>
        <scheme val="minor"/>
      </rPr>
      <t xml:space="preserve"> (Male %)</t>
    </r>
  </si>
  <si>
    <r>
      <t>Gender Distribution of Surviving Children</t>
    </r>
    <r>
      <rPr>
        <b/>
        <sz val="10"/>
        <color theme="1"/>
        <rFont val="Calibri"/>
        <family val="2"/>
        <scheme val="minor"/>
      </rPr>
      <t xml:space="preserve"> (Female%)</t>
    </r>
  </si>
  <si>
    <r>
      <t xml:space="preserve">Total surviving children in </t>
    </r>
    <r>
      <rPr>
        <b/>
        <sz val="10"/>
        <color theme="1"/>
        <rFont val="Calibri"/>
        <family val="2"/>
        <scheme val="minor"/>
      </rPr>
      <t>Urban areas of Lucknow</t>
    </r>
  </si>
  <si>
    <r>
      <t xml:space="preserve">Total surviving children in </t>
    </r>
    <r>
      <rPr>
        <b/>
        <sz val="10"/>
        <color theme="1"/>
        <rFont val="Calibri"/>
        <family val="2"/>
        <scheme val="minor"/>
      </rPr>
      <t>Rural areas of Lucknow</t>
    </r>
  </si>
  <si>
    <r>
      <t xml:space="preserve">Average surviving children for </t>
    </r>
    <r>
      <rPr>
        <b/>
        <sz val="10"/>
        <color theme="1"/>
        <rFont val="Calibri"/>
        <family val="2"/>
        <scheme val="minor"/>
      </rPr>
      <t>Illiterate</t>
    </r>
    <r>
      <rPr>
        <sz val="10"/>
        <color theme="1"/>
        <rFont val="Calibri"/>
        <family val="2"/>
        <scheme val="minor"/>
      </rPr>
      <t xml:space="preserve"> women</t>
    </r>
  </si>
  <si>
    <r>
      <t xml:space="preserve">Average surviving children for </t>
    </r>
    <r>
      <rPr>
        <b/>
        <sz val="10"/>
        <color theme="1"/>
        <rFont val="Calibri"/>
        <family val="2"/>
        <scheme val="minor"/>
      </rPr>
      <t xml:space="preserve">Literate </t>
    </r>
    <r>
      <rPr>
        <sz val="10"/>
        <color theme="1"/>
        <rFont val="Calibri"/>
        <family val="2"/>
        <scheme val="minor"/>
      </rPr>
      <t>women</t>
    </r>
  </si>
  <si>
    <t>Sex Ratio of Surviving Children (Females per 1000 Males)</t>
  </si>
  <si>
    <t>Row Labels</t>
  </si>
  <si>
    <t>Grand Total</t>
  </si>
  <si>
    <t>Sum of Total Surviving Children</t>
  </si>
  <si>
    <t>Sum of Total ever married women</t>
  </si>
  <si>
    <t>Sum of Total no. of surviving children (Male)</t>
  </si>
  <si>
    <t>Sum of Total no. of surviving children (Female)</t>
  </si>
  <si>
    <t>Percentage of Total Surviving Children</t>
  </si>
  <si>
    <t>60-79</t>
  </si>
  <si>
    <t>40-59</t>
  </si>
  <si>
    <t>20-39</t>
  </si>
  <si>
    <t>0-19</t>
  </si>
  <si>
    <t>Male Female Ratio</t>
  </si>
  <si>
    <t>Urban Share in Population</t>
  </si>
  <si>
    <t>Rural Share in Population</t>
  </si>
  <si>
    <t>Dependency Ratio</t>
  </si>
  <si>
    <t>Male %</t>
  </si>
  <si>
    <t>Female %</t>
  </si>
  <si>
    <t>Sum of Total Population</t>
  </si>
  <si>
    <t>Column Labels</t>
  </si>
  <si>
    <t>Education Attendance Rate (Male)</t>
  </si>
  <si>
    <t>Education Attendance Rate (Female)</t>
  </si>
  <si>
    <t>Overall Education Attendance Rate</t>
  </si>
  <si>
    <t>Gender Gap in Education Attendance</t>
  </si>
  <si>
    <t>Male–Female Population Ratio</t>
  </si>
  <si>
    <t>% of Educated Population by Gender(Male)</t>
  </si>
  <si>
    <t>% of Educated Population by Gender(Female)</t>
  </si>
  <si>
    <t>Urban Education Share</t>
  </si>
  <si>
    <t>Rural Education Share</t>
  </si>
  <si>
    <t xml:space="preserve">Sum of Male Population </t>
  </si>
  <si>
    <t>Sum of Female Population</t>
  </si>
  <si>
    <t>Sum of Education Attendance Rate (Male)</t>
  </si>
  <si>
    <t>Sum of Education Attendance Rate (Female)</t>
  </si>
  <si>
    <t>Sum of Total</t>
  </si>
  <si>
    <t>% of Rural Hindu Population</t>
  </si>
  <si>
    <t>% of Urban Hindu Population</t>
  </si>
  <si>
    <t>% of Rural Muslim Population</t>
  </si>
  <si>
    <t>% of Urban Muslim Population</t>
  </si>
  <si>
    <t>% of Rural Christian Population</t>
  </si>
  <si>
    <t>% of Urban Christian Population</t>
  </si>
  <si>
    <t>% of Rural Sikh Population</t>
  </si>
  <si>
    <t>% of Urban Sikh Population</t>
  </si>
  <si>
    <t>% of Rural Buddhist Population</t>
  </si>
  <si>
    <t>% of Urban Buddhist Population</t>
  </si>
  <si>
    <t>% of Rural Jain Population</t>
  </si>
  <si>
    <t>% of Urban Jain Population</t>
  </si>
  <si>
    <t>Sum of Total Hindu Population</t>
  </si>
  <si>
    <t>Sum of Total Muslim Population</t>
  </si>
  <si>
    <t>Sum of Total Christian Population</t>
  </si>
  <si>
    <t>Sum of Total  Sikh Population</t>
  </si>
  <si>
    <t>Sum of Total Buddhist Population</t>
  </si>
  <si>
    <t>Sum of Tota Jain Population</t>
  </si>
  <si>
    <t>Sum of Other Population</t>
  </si>
  <si>
    <t>Total Hindu</t>
  </si>
  <si>
    <t>Total Muslim</t>
  </si>
  <si>
    <t>Total Christian</t>
  </si>
  <si>
    <t>Total Sikh</t>
  </si>
  <si>
    <t>Total Buddhist</t>
  </si>
  <si>
    <t>Total Jain</t>
  </si>
  <si>
    <t>Total others</t>
  </si>
  <si>
    <t>Total Hindu Male</t>
  </si>
  <si>
    <t>Total Hindu Female</t>
  </si>
  <si>
    <t>Total Muslim Male</t>
  </si>
  <si>
    <t>Total Muslim Female</t>
  </si>
  <si>
    <t>Total Christian Male</t>
  </si>
  <si>
    <t>Total Christian Female</t>
  </si>
  <si>
    <t>Total Sikh Male</t>
  </si>
  <si>
    <t>Total Sikh Female</t>
  </si>
  <si>
    <t>Total Buddhist Male</t>
  </si>
  <si>
    <t>Total Buddhist Female</t>
  </si>
  <si>
    <t>Total Jain Male</t>
  </si>
  <si>
    <t>Total Jain Female</t>
  </si>
  <si>
    <t>% of urban married people</t>
  </si>
  <si>
    <t>% of rural married people</t>
  </si>
  <si>
    <t>Mean</t>
  </si>
  <si>
    <t>Standard Error</t>
  </si>
  <si>
    <t>Median</t>
  </si>
  <si>
    <t>Mode</t>
  </si>
  <si>
    <t>Standard Deviation</t>
  </si>
  <si>
    <t>Sample Variance</t>
  </si>
  <si>
    <t>Kurtosis</t>
  </si>
  <si>
    <t>Skewness</t>
  </si>
  <si>
    <t>Range</t>
  </si>
  <si>
    <t>Minimum</t>
  </si>
  <si>
    <t>Maximum</t>
  </si>
  <si>
    <t>Sum</t>
  </si>
  <si>
    <t>Count</t>
  </si>
  <si>
    <t xml:space="preserve">% of Married Population </t>
  </si>
  <si>
    <t>% of Divorced 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</si>
</sst>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2" x14ac:knownFonts="1">
    <font>
      <sz val="11"/>
      <color theme="1"/>
      <name val="Calibri"/>
      <family val="2"/>
      <scheme val="minor"/>
    </font>
    <font>
      <b/>
      <sz val="11"/>
      <color theme="1"/>
      <name val="Calibri"/>
      <family val="2"/>
      <scheme val="minor"/>
    </font>
    <font>
      <b/>
      <sz val="10"/>
      <color indexed="8"/>
      <name val="Times New Roman"/>
      <family val="1"/>
    </font>
    <font>
      <sz val="11"/>
      <color indexed="8"/>
      <name val="Calibri"/>
      <family val="2"/>
      <scheme val="minor"/>
    </font>
    <font>
      <sz val="10"/>
      <name val="Arial"/>
      <family val="2"/>
    </font>
    <font>
      <b/>
      <sz val="10"/>
      <color theme="1"/>
      <name val="Calibri"/>
      <family val="2"/>
      <scheme val="minor"/>
    </font>
    <font>
      <sz val="11"/>
      <name val="Calibri"/>
      <family val="2"/>
      <scheme val="minor"/>
    </font>
    <font>
      <b/>
      <sz val="11"/>
      <color indexed="8"/>
      <name val="Calibri"/>
      <family val="2"/>
      <scheme val="minor"/>
    </font>
    <font>
      <sz val="10"/>
      <color theme="1"/>
      <name val="Calibri"/>
      <family val="2"/>
      <scheme val="minor"/>
    </font>
    <font>
      <sz val="11"/>
      <color theme="1"/>
      <name val="Calibri"/>
      <family val="2"/>
      <scheme val="minor"/>
    </font>
    <font>
      <sz val="8"/>
      <name val="Calibri"/>
      <family val="2"/>
      <scheme val="minor"/>
    </font>
    <font>
      <i/>
      <sz val="11"/>
      <color theme="1"/>
      <name val="Calibri"/>
      <family val="2"/>
      <scheme val="minor"/>
    </font>
  </fonts>
  <fills count="19">
    <fill>
      <patternFill patternType="none"/>
    </fill>
    <fill>
      <patternFill patternType="gray125"/>
    </fill>
    <fill>
      <patternFill patternType="solid">
        <fgColor theme="5" tint="0.59999389629810485"/>
        <bgColor indexed="64"/>
      </patternFill>
    </fill>
    <fill>
      <patternFill patternType="solid">
        <fgColor theme="2"/>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rgb="FFCCCCFF"/>
        <bgColor indexed="64"/>
      </patternFill>
    </fill>
    <fill>
      <patternFill patternType="solid">
        <fgColor rgb="FFF4D6F4"/>
        <bgColor indexed="64"/>
      </patternFill>
    </fill>
    <fill>
      <patternFill patternType="solid">
        <fgColor theme="0"/>
        <bgColor indexed="64"/>
      </patternFill>
    </fill>
    <fill>
      <patternFill patternType="solid">
        <fgColor theme="5" tint="0.79998168889431442"/>
        <bgColor indexed="64"/>
      </patternFill>
    </fill>
    <fill>
      <patternFill patternType="solid">
        <fgColor rgb="FFFFFF00"/>
        <bgColor indexed="64"/>
      </patternFill>
    </fill>
    <fill>
      <patternFill patternType="solid">
        <fgColor theme="4" tint="0.59999389629810485"/>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9" fontId="9" fillId="0" borderId="0" applyFont="0" applyFill="0" applyBorder="0" applyAlignment="0" applyProtection="0"/>
  </cellStyleXfs>
  <cellXfs count="93">
    <xf numFmtId="0" fontId="0" fillId="0" borderId="0" xfId="0"/>
    <xf numFmtId="49" fontId="0" fillId="0" borderId="0" xfId="0" applyNumberFormat="1"/>
    <xf numFmtId="0" fontId="3" fillId="0" borderId="1" xfId="0" applyFont="1" applyBorder="1" applyAlignment="1">
      <alignment horizontal="left" vertical="top" wrapText="1"/>
    </xf>
    <xf numFmtId="3" fontId="3" fillId="0" borderId="1" xfId="0" applyNumberFormat="1" applyFont="1" applyBorder="1" applyAlignment="1">
      <alignment horizontal="right" vertical="top" wrapText="1"/>
    </xf>
    <xf numFmtId="0" fontId="4" fillId="0" borderId="0" xfId="0" applyFont="1"/>
    <xf numFmtId="0" fontId="0" fillId="0" borderId="0" xfId="0" applyAlignment="1">
      <alignment vertical="center"/>
    </xf>
    <xf numFmtId="0" fontId="3" fillId="0" borderId="4" xfId="0" applyFont="1" applyBorder="1" applyAlignment="1">
      <alignment horizontal="left" vertical="top" wrapText="1"/>
    </xf>
    <xf numFmtId="0" fontId="0" fillId="0" borderId="1" xfId="0" applyBorder="1"/>
    <xf numFmtId="0" fontId="0" fillId="0" borderId="1" xfId="0" quotePrefix="1" applyBorder="1"/>
    <xf numFmtId="0" fontId="4" fillId="0" borderId="1" xfId="0" applyFont="1" applyBorder="1"/>
    <xf numFmtId="3" fontId="4" fillId="0" borderId="1" xfId="0" applyNumberFormat="1" applyFont="1" applyBorder="1"/>
    <xf numFmtId="0" fontId="3" fillId="0" borderId="8" xfId="0" applyFont="1" applyBorder="1" applyAlignment="1">
      <alignment horizontal="left" vertical="top" wrapText="1"/>
    </xf>
    <xf numFmtId="3" fontId="0" fillId="0" borderId="9" xfId="0" applyNumberFormat="1" applyBorder="1"/>
    <xf numFmtId="0" fontId="3" fillId="0" borderId="12" xfId="0" applyFont="1" applyBorder="1" applyAlignment="1">
      <alignment horizontal="left" vertical="top" wrapText="1"/>
    </xf>
    <xf numFmtId="0" fontId="3" fillId="0" borderId="2" xfId="0" applyFont="1" applyBorder="1" applyAlignment="1">
      <alignment horizontal="left" vertical="top" wrapText="1"/>
    </xf>
    <xf numFmtId="3" fontId="3" fillId="0" borderId="2" xfId="0" applyNumberFormat="1" applyFont="1" applyBorder="1" applyAlignment="1">
      <alignment horizontal="right" vertical="top" wrapText="1"/>
    </xf>
    <xf numFmtId="3" fontId="0" fillId="0" borderId="13" xfId="0" applyNumberFormat="1" applyBorder="1"/>
    <xf numFmtId="0" fontId="2" fillId="2" borderId="10" xfId="0" applyFont="1" applyFill="1" applyBorder="1" applyAlignment="1">
      <alignment vertical="center" wrapText="1" readingOrder="1"/>
    </xf>
    <xf numFmtId="0" fontId="2" fillId="2" borderId="3" xfId="0" applyFont="1" applyFill="1" applyBorder="1" applyAlignment="1">
      <alignment vertical="center" wrapText="1" readingOrder="1"/>
    </xf>
    <xf numFmtId="0" fontId="2" fillId="2" borderId="11" xfId="0" applyFont="1" applyFill="1" applyBorder="1" applyAlignment="1">
      <alignment vertical="center" wrapText="1" readingOrder="1"/>
    </xf>
    <xf numFmtId="49" fontId="0" fillId="0" borderId="8" xfId="0" applyNumberFormat="1" applyBorder="1"/>
    <xf numFmtId="0" fontId="4" fillId="0" borderId="2" xfId="0" applyFont="1" applyBorder="1"/>
    <xf numFmtId="49" fontId="4" fillId="0" borderId="8" xfId="0" applyNumberFormat="1" applyFont="1" applyBorder="1"/>
    <xf numFmtId="0" fontId="4" fillId="0" borderId="9" xfId="0" applyFont="1" applyBorder="1"/>
    <xf numFmtId="0" fontId="0" fillId="4" borderId="10" xfId="0" applyFill="1" applyBorder="1" applyAlignment="1">
      <alignment vertical="center" wrapText="1"/>
    </xf>
    <xf numFmtId="0" fontId="0" fillId="4" borderId="3" xfId="0" applyFill="1" applyBorder="1" applyAlignment="1">
      <alignment vertical="center" wrapText="1"/>
    </xf>
    <xf numFmtId="0" fontId="0" fillId="4" borderId="3" xfId="0" applyFill="1" applyBorder="1" applyAlignment="1">
      <alignment horizontal="left" vertical="center" wrapText="1"/>
    </xf>
    <xf numFmtId="0" fontId="0" fillId="4" borderId="11" xfId="0" applyFill="1" applyBorder="1" applyAlignment="1">
      <alignment vertical="center" wrapText="1"/>
    </xf>
    <xf numFmtId="49" fontId="4" fillId="0" borderId="12" xfId="0" applyNumberFormat="1" applyFont="1" applyBorder="1"/>
    <xf numFmtId="3" fontId="4" fillId="0" borderId="2" xfId="0" applyNumberFormat="1" applyFont="1" applyBorder="1"/>
    <xf numFmtId="0" fontId="4" fillId="0" borderId="13" xfId="0" applyFont="1" applyBorder="1"/>
    <xf numFmtId="0" fontId="0" fillId="2" borderId="0" xfId="0" applyFill="1"/>
    <xf numFmtId="0" fontId="7" fillId="2" borderId="8" xfId="0" applyFont="1" applyFill="1" applyBorder="1" applyAlignment="1">
      <alignment horizontal="left" vertical="center" wrapText="1"/>
    </xf>
    <xf numFmtId="3" fontId="0" fillId="0" borderId="0" xfId="0" applyNumberFormat="1"/>
    <xf numFmtId="3" fontId="0" fillId="4" borderId="1" xfId="0" applyNumberFormat="1" applyFill="1" applyBorder="1"/>
    <xf numFmtId="0" fontId="0" fillId="6" borderId="1" xfId="0" applyFill="1" applyBorder="1"/>
    <xf numFmtId="2" fontId="0" fillId="7" borderId="1" xfId="0" applyNumberFormat="1" applyFill="1" applyBorder="1"/>
    <xf numFmtId="0" fontId="0" fillId="0" borderId="0" xfId="0" pivotButton="1"/>
    <xf numFmtId="0" fontId="0" fillId="0" borderId="0" xfId="0" applyAlignment="1">
      <alignment horizontal="left"/>
    </xf>
    <xf numFmtId="10" fontId="0" fillId="0" borderId="0" xfId="0" applyNumberFormat="1"/>
    <xf numFmtId="0" fontId="0" fillId="0" borderId="3" xfId="0" applyBorder="1"/>
    <xf numFmtId="0" fontId="0" fillId="0" borderId="2" xfId="0" applyBorder="1"/>
    <xf numFmtId="9" fontId="0" fillId="9" borderId="1" xfId="1" applyFont="1" applyFill="1" applyBorder="1"/>
    <xf numFmtId="2" fontId="0" fillId="7" borderId="3" xfId="0" applyNumberFormat="1" applyFill="1" applyBorder="1"/>
    <xf numFmtId="9" fontId="0" fillId="7" borderId="3" xfId="1" applyFont="1" applyFill="1" applyBorder="1"/>
    <xf numFmtId="9" fontId="0" fillId="7" borderId="0" xfId="1" applyFont="1" applyFill="1"/>
    <xf numFmtId="9" fontId="0" fillId="7" borderId="1" xfId="1" applyFont="1" applyFill="1" applyBorder="1"/>
    <xf numFmtId="2" fontId="0" fillId="7" borderId="2" xfId="0" applyNumberFormat="1" applyFill="1" applyBorder="1"/>
    <xf numFmtId="9" fontId="0" fillId="7" borderId="2" xfId="1" applyFont="1" applyFill="1" applyBorder="1"/>
    <xf numFmtId="0" fontId="2" fillId="10" borderId="3" xfId="0" applyFont="1" applyFill="1" applyBorder="1" applyAlignment="1">
      <alignment vertical="center" wrapText="1" readingOrder="1"/>
    </xf>
    <xf numFmtId="0" fontId="7" fillId="2" borderId="1" xfId="0" applyFont="1" applyFill="1" applyBorder="1" applyAlignment="1">
      <alignment horizontal="left" vertical="center" wrapText="1"/>
    </xf>
    <xf numFmtId="0" fontId="2" fillId="2" borderId="1" xfId="0" applyFont="1" applyFill="1" applyBorder="1" applyAlignment="1">
      <alignment vertical="center" wrapText="1" readingOrder="1"/>
    </xf>
    <xf numFmtId="0" fontId="5" fillId="2" borderId="1" xfId="0" applyFont="1" applyFill="1" applyBorder="1" applyAlignment="1">
      <alignment vertical="center"/>
    </xf>
    <xf numFmtId="49" fontId="0" fillId="0" borderId="1" xfId="0" applyNumberFormat="1" applyBorder="1"/>
    <xf numFmtId="0" fontId="6" fillId="0" borderId="1" xfId="0" applyFont="1" applyBorder="1" applyAlignment="1">
      <alignment horizontal="left"/>
    </xf>
    <xf numFmtId="0" fontId="2" fillId="11" borderId="3" xfId="0" applyFont="1" applyFill="1" applyBorder="1" applyAlignment="1">
      <alignment vertical="center" wrapText="1" readingOrder="1"/>
    </xf>
    <xf numFmtId="0" fontId="0" fillId="12" borderId="1" xfId="0" applyFill="1" applyBorder="1"/>
    <xf numFmtId="9" fontId="0" fillId="12" borderId="3" xfId="1" applyFont="1" applyFill="1" applyBorder="1"/>
    <xf numFmtId="9" fontId="0" fillId="12" borderId="1" xfId="1" applyFont="1" applyFill="1" applyBorder="1"/>
    <xf numFmtId="9" fontId="0" fillId="12" borderId="2" xfId="1" applyFont="1" applyFill="1" applyBorder="1"/>
    <xf numFmtId="9" fontId="0" fillId="0" borderId="0" xfId="0" applyNumberFormat="1"/>
    <xf numFmtId="0" fontId="0" fillId="14" borderId="1" xfId="0" applyFill="1" applyBorder="1"/>
    <xf numFmtId="0" fontId="0" fillId="0" borderId="0" xfId="0" applyAlignment="1">
      <alignment wrapText="1"/>
    </xf>
    <xf numFmtId="0" fontId="0" fillId="9" borderId="1" xfId="0" applyFill="1" applyBorder="1"/>
    <xf numFmtId="0" fontId="0" fillId="16" borderId="1" xfId="0" applyFill="1" applyBorder="1"/>
    <xf numFmtId="9" fontId="0" fillId="4" borderId="1" xfId="1" applyFont="1" applyFill="1" applyBorder="1"/>
    <xf numFmtId="10" fontId="0" fillId="13" borderId="1" xfId="1" applyNumberFormat="1" applyFont="1" applyFill="1" applyBorder="1"/>
    <xf numFmtId="0" fontId="0" fillId="15" borderId="0" xfId="0" applyFill="1" applyAlignment="1">
      <alignment vertical="center"/>
    </xf>
    <xf numFmtId="0" fontId="4" fillId="0" borderId="11" xfId="0" applyFont="1" applyBorder="1"/>
    <xf numFmtId="0" fontId="0" fillId="0" borderId="18" xfId="0" applyBorder="1"/>
    <xf numFmtId="0" fontId="11" fillId="0" borderId="19" xfId="0" applyFont="1" applyBorder="1" applyAlignment="1">
      <alignment horizontal="center"/>
    </xf>
    <xf numFmtId="0" fontId="11" fillId="0" borderId="19" xfId="0" applyFont="1" applyBorder="1" applyAlignment="1">
      <alignment horizontal="center" wrapText="1"/>
    </xf>
    <xf numFmtId="0" fontId="4" fillId="17" borderId="2" xfId="0" applyFont="1" applyFill="1" applyBorder="1"/>
    <xf numFmtId="0" fontId="0" fillId="18" borderId="0" xfId="0" applyFill="1"/>
    <xf numFmtId="9" fontId="0" fillId="9" borderId="0" xfId="1" applyFont="1" applyFill="1"/>
    <xf numFmtId="164" fontId="0" fillId="9" borderId="0" xfId="1" applyNumberFormat="1" applyFont="1" applyFill="1"/>
    <xf numFmtId="0" fontId="8" fillId="5" borderId="1" xfId="0" applyFont="1" applyFill="1" applyBorder="1" applyAlignment="1">
      <alignment horizontal="center"/>
    </xf>
    <xf numFmtId="0" fontId="1" fillId="3" borderId="5" xfId="0" applyFont="1" applyFill="1" applyBorder="1" applyAlignment="1">
      <alignment horizontal="center" vertical="top" wrapText="1"/>
    </xf>
    <xf numFmtId="0" fontId="0" fillId="3" borderId="6" xfId="0" applyFill="1" applyBorder="1" applyAlignment="1">
      <alignment horizontal="center" vertical="top" wrapText="1"/>
    </xf>
    <xf numFmtId="0" fontId="0" fillId="3" borderId="7" xfId="0" applyFill="1" applyBorder="1" applyAlignment="1">
      <alignment horizontal="center" vertical="top" wrapText="1"/>
    </xf>
    <xf numFmtId="0" fontId="0" fillId="3" borderId="14" xfId="0" applyFill="1" applyBorder="1" applyAlignment="1">
      <alignment horizontal="center" vertical="top" wrapText="1"/>
    </xf>
    <xf numFmtId="0" fontId="0" fillId="3" borderId="15" xfId="0" applyFill="1" applyBorder="1" applyAlignment="1">
      <alignment horizontal="center" vertical="top" wrapText="1"/>
    </xf>
    <xf numFmtId="0" fontId="0" fillId="3" borderId="16" xfId="0" applyFill="1" applyBorder="1" applyAlignment="1">
      <alignment horizontal="center" vertical="top" wrapText="1"/>
    </xf>
    <xf numFmtId="0" fontId="0" fillId="8" borderId="1" xfId="0" applyFill="1" applyBorder="1" applyAlignment="1">
      <alignment horizontal="center"/>
    </xf>
    <xf numFmtId="0" fontId="1" fillId="3" borderId="17" xfId="0" applyFont="1" applyFill="1" applyBorder="1" applyAlignment="1">
      <alignment horizontal="center" vertical="center" wrapText="1"/>
    </xf>
    <xf numFmtId="0" fontId="1" fillId="3" borderId="0" xfId="0" applyFont="1" applyFill="1" applyAlignment="1">
      <alignment horizontal="center" vertical="center" wrapText="1"/>
    </xf>
    <xf numFmtId="0" fontId="0" fillId="10" borderId="1" xfId="0" applyFill="1" applyBorder="1" applyAlignment="1">
      <alignment horizontal="center"/>
    </xf>
    <xf numFmtId="0" fontId="1" fillId="3" borderId="0" xfId="0" applyFont="1" applyFill="1" applyAlignment="1">
      <alignment horizontal="center" vertical="center"/>
    </xf>
    <xf numFmtId="0" fontId="0" fillId="12" borderId="1" xfId="0" applyFill="1" applyBorder="1" applyAlignment="1">
      <alignment horizontal="center"/>
    </xf>
    <xf numFmtId="0" fontId="0" fillId="3" borderId="0" xfId="0" applyFill="1" applyAlignment="1">
      <alignment horizontal="center" vertical="center"/>
    </xf>
    <xf numFmtId="0" fontId="0" fillId="13" borderId="1" xfId="0" applyFill="1" applyBorder="1" applyAlignment="1">
      <alignment horizontal="center"/>
    </xf>
    <xf numFmtId="0" fontId="0" fillId="7" borderId="1" xfId="0" applyFill="1" applyBorder="1" applyAlignment="1">
      <alignment horizontal="center"/>
    </xf>
    <xf numFmtId="0" fontId="0" fillId="0" borderId="0" xfId="0" applyAlignment="1">
      <alignment horizontal="center"/>
    </xf>
  </cellXfs>
  <cellStyles count="2">
    <cellStyle name="Normal" xfId="0" builtinId="0"/>
    <cellStyle name="Percent" xfId="1" builtinId="5"/>
  </cellStyles>
  <dxfs count="99">
    <dxf>
      <font>
        <b val="0"/>
        <i val="0"/>
        <strike val="0"/>
        <condense val="0"/>
        <extend val="0"/>
        <outline val="0"/>
        <shadow val="0"/>
        <u val="none"/>
        <vertAlign val="baseline"/>
        <sz val="10"/>
        <color auto="1"/>
        <name val="Arial"/>
        <family val="2"/>
        <scheme val="none"/>
      </font>
      <numFmt numFmtId="0" formatCode="General"/>
      <fill>
        <patternFill patternType="solid">
          <fgColor indexed="64"/>
          <bgColor rgb="FFFFFF00"/>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0" formatCode="General"/>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Arial"/>
        <family val="2"/>
        <scheme val="none"/>
      </font>
      <numFmt numFmtId="0" formatCode="Genera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0" formatCode="Genera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0" formatCode="Genera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0" formatCode="Genera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0" formatCode="Genera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0" formatCode="Genera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0" formatCode="Genera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3" formatCode="#,##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numFmt numFmtId="3"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30" formatCode="@"/>
      <border diagonalUp="0" diagonalDown="0" outline="0">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numFmt numFmtId="30" formatCode="@"/>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thin">
          <color indexed="64"/>
        </top>
        <bottom style="medium">
          <color indexed="64"/>
        </bottom>
      </border>
    </dxf>
    <dxf>
      <font>
        <b val="0"/>
        <i val="0"/>
        <strike val="0"/>
        <condense val="0"/>
        <extend val="0"/>
        <outline val="0"/>
        <shadow val="0"/>
        <u val="none"/>
        <vertAlign val="baseline"/>
        <sz val="10"/>
        <color auto="1"/>
        <name val="Arial"/>
        <family val="2"/>
        <scheme val="none"/>
      </font>
    </dxf>
    <dxf>
      <border outline="0">
        <bottom style="thin">
          <color indexed="64"/>
        </bottom>
      </border>
    </dxf>
    <dxf>
      <fill>
        <patternFill patternType="solid">
          <fgColor indexed="64"/>
          <bgColor theme="4"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8"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8"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8"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8"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8" tint="0.79998168889431442"/>
        </patternFill>
      </fill>
      <border diagonalUp="0" diagonalDown="0" outline="0">
        <left style="thin">
          <color indexed="64"/>
        </left>
        <right/>
        <top style="thin">
          <color indexed="64"/>
        </top>
        <bottom style="thin">
          <color indexed="64"/>
        </bottom>
      </border>
    </dxf>
    <dxf>
      <fill>
        <patternFill patternType="solid">
          <fgColor indexed="64"/>
          <bgColor theme="8" tint="0.79998168889431442"/>
        </patternFill>
      </fill>
      <border diagonalUp="0" diagonalDown="0" outline="0">
        <left style="thin">
          <color indexed="64"/>
        </left>
        <right/>
        <top style="thin">
          <color indexed="64"/>
        </top>
        <bottom style="thin">
          <color indexed="64"/>
        </bottom>
      </border>
    </dxf>
    <dxf>
      <fill>
        <patternFill patternType="solid">
          <fgColor indexed="64"/>
          <bgColor theme="8" tint="0.79998168889431442"/>
        </patternFill>
      </fill>
      <border diagonalUp="0" diagonalDown="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font>
        <b/>
        <i val="0"/>
        <strike val="0"/>
        <condense val="0"/>
        <extend val="0"/>
        <outline val="0"/>
        <shadow val="0"/>
        <u val="none"/>
        <vertAlign val="baseline"/>
        <sz val="10"/>
        <color indexed="8"/>
        <name val="Times New Roman"/>
        <family val="1"/>
        <scheme val="none"/>
      </font>
      <fill>
        <patternFill patternType="solid">
          <fgColor indexed="64"/>
          <bgColor theme="5" tint="0.59999389629810485"/>
        </patternFill>
      </fill>
      <alignment horizontal="general" vertical="center" textRotation="0" wrapText="1" indent="0" justifyLastLine="0" shrinkToFit="0" readingOrder="1"/>
      <border diagonalUp="0" diagonalDown="0">
        <left style="thin">
          <color indexed="64"/>
        </left>
        <right style="thin">
          <color indexed="64"/>
        </right>
        <top/>
        <bottom/>
        <vertical style="thin">
          <color indexed="64"/>
        </vertical>
        <horizontal style="thin">
          <color indexed="64"/>
        </horizontal>
      </border>
    </dxf>
    <dxf>
      <fill>
        <patternFill>
          <fgColor indexed="64"/>
          <bgColor theme="7" tint="0.79998168889431442"/>
        </patternFill>
      </fill>
    </dxf>
    <dxf>
      <fill>
        <patternFill>
          <fgColor indexed="64"/>
          <bgColor theme="7" tint="0.79998168889431442"/>
        </patternFill>
      </fill>
      <border diagonalUp="0" diagonalDown="0" outline="0">
        <left style="thin">
          <color indexed="64"/>
        </left>
        <right style="thin">
          <color indexed="64"/>
        </right>
        <top style="thin">
          <color indexed="64"/>
        </top>
        <bottom style="thin">
          <color indexed="64"/>
        </bottom>
      </border>
    </dxf>
    <dxf>
      <numFmt numFmtId="2" formatCode="0.00"/>
      <fill>
        <patternFill>
          <fgColor indexed="64"/>
          <bgColor theme="7" tint="0.79998168889431442"/>
        </patternFill>
      </fill>
      <border diagonalUp="0" diagonalDown="0" outline="0">
        <left style="thin">
          <color indexed="64"/>
        </left>
        <right style="thin">
          <color indexed="64"/>
        </right>
        <top style="thin">
          <color indexed="64"/>
        </top>
        <bottom style="thin">
          <color indexed="64"/>
        </bottom>
      </border>
    </dxf>
    <dxf>
      <numFmt numFmtId="0" formatCode="General"/>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30" formatCode="@"/>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minor"/>
      </font>
      <alignment horizontal="left"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top style="thin">
          <color indexed="64"/>
        </top>
      </border>
    </dxf>
    <dxf>
      <border outline="0">
        <bottom style="thin">
          <color indexed="64"/>
        </bottom>
      </border>
    </dxf>
    <dxf>
      <font>
        <b/>
        <i val="0"/>
        <strike val="0"/>
        <condense val="0"/>
        <extend val="0"/>
        <outline val="0"/>
        <shadow val="0"/>
        <u val="none"/>
        <vertAlign val="baseline"/>
        <sz val="10"/>
        <color indexed="8"/>
        <name val="Times New Roman"/>
        <family val="1"/>
        <scheme val="none"/>
      </font>
      <fill>
        <patternFill patternType="solid">
          <fgColor indexed="64"/>
          <bgColor theme="5" tint="0.59999389629810485"/>
        </patternFill>
      </fill>
      <alignment horizontal="general" vertical="center" textRotation="0" wrapText="1" indent="0" justifyLastLine="0" shrinkToFit="0" readingOrder="1"/>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numFmt numFmtId="3" formatCode="#,##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minor"/>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minor"/>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minor"/>
      </font>
      <numFmt numFmtId="3" formatCode="#,##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minor"/>
      </font>
      <numFmt numFmtId="3" formatCode="#,##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minor"/>
      </font>
      <alignment horizontal="left"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thin">
          <color indexed="64"/>
        </top>
        <bottom style="medium">
          <color indexed="64"/>
        </bottom>
      </border>
    </dxf>
    <dxf>
      <border outline="0">
        <bottom style="thin">
          <color indexed="64"/>
        </bottom>
      </border>
    </dxf>
    <dxf>
      <font>
        <b/>
        <i val="0"/>
        <strike val="0"/>
        <condense val="0"/>
        <extend val="0"/>
        <outline val="0"/>
        <shadow val="0"/>
        <u val="none"/>
        <vertAlign val="baseline"/>
        <sz val="10"/>
        <color indexed="8"/>
        <name val="Times New Roman"/>
        <family val="1"/>
        <scheme val="none"/>
      </font>
      <fill>
        <patternFill patternType="solid">
          <fgColor indexed="64"/>
          <bgColor theme="5" tint="0.59999389629810485"/>
        </patternFill>
      </fill>
      <alignment horizontal="general" vertical="center" textRotation="0" wrapText="1" indent="0" justifyLastLine="0" shrinkToFit="0" readingOrder="1"/>
      <border diagonalUp="0" diagonalDown="0" outline="0">
        <left style="thin">
          <color indexed="64"/>
        </left>
        <right style="thin">
          <color indexed="64"/>
        </right>
        <top/>
        <bottom/>
      </border>
    </dxf>
    <dxf>
      <fill>
        <patternFill>
          <bgColor rgb="FFFFCCFF"/>
        </patternFill>
      </fill>
    </dxf>
    <dxf>
      <font>
        <color rgb="FFF9DFF3"/>
      </font>
    </dxf>
  </dxfs>
  <tableStyles count="5" defaultTableStyle="TableStyleMedium2" defaultPivotStyle="PivotStyleLight16">
    <tableStyle name="Slicer Style 1" pivot="0" table="0" count="0" xr9:uid="{70629B06-41E6-4557-9D82-9B0F4CE8F7EF}"/>
    <tableStyle name="Slicer Style 2" pivot="0" table="0" count="1" xr9:uid="{E93577EF-891B-481F-862C-E5D6248F555E}">
      <tableStyleElement type="wholeTable" dxfId="98"/>
    </tableStyle>
    <tableStyle name="Slicer Style 3" pivot="0" table="0" count="1" xr9:uid="{BB0F52E9-37AD-45CC-B688-A462E807E518}">
      <tableStyleElement type="wholeTable" dxfId="97"/>
    </tableStyle>
    <tableStyle name="Slicer Style 4" pivot="0" table="0" count="2" xr9:uid="{F455FD07-64FF-46DF-A6A1-FCC3717DFB93}"/>
    <tableStyle name="Slicer Style 5" pivot="0" table="0" count="2" xr9:uid="{C01A9B5F-8437-45F0-9CAB-867BD320B37B}"/>
  </tableStyles>
  <colors>
    <mruColors>
      <color rgb="FFC1E4FF"/>
      <color rgb="FFE820B8"/>
      <color rgb="FF2C92AA"/>
      <color rgb="FFF9DFF3"/>
      <color rgb="FFFFCCFF"/>
      <color rgb="FFCCCCFF"/>
      <color rgb="FFFFC41D"/>
      <color rgb="FF993366"/>
      <color rgb="FF52BAD2"/>
      <color rgb="FFF4D6F4"/>
    </mruColors>
  </colors>
  <extLst>
    <ext xmlns:x14="http://schemas.microsoft.com/office/spreadsheetml/2009/9/main" uri="{46F421CA-312F-682f-3DD2-61675219B42D}">
      <x14:dxfs count="4">
        <dxf>
          <fill>
            <patternFill>
              <bgColor theme="9" tint="0.59996337778862885"/>
            </patternFill>
          </fill>
        </dxf>
        <dxf>
          <fill>
            <patternFill>
              <bgColor theme="5" tint="0.79998168889431442"/>
            </patternFill>
          </fill>
        </dxf>
        <dxf>
          <fill>
            <patternFill>
              <bgColor rgb="FFFFCCFF"/>
            </patternFill>
          </fill>
        </dxf>
        <dxf>
          <fill>
            <patternFill>
              <bgColor rgb="FFCCCCFF"/>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unselectedItemWithData" dxfId="3"/>
            <x14:slicerStyleElement type="selectedItemWithData" dxfId="2"/>
          </x14:slicerStyleElements>
        </x14:slicerStyle>
        <x14:slicerStyle name="Slicer Style 5">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4.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8.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9.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0.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1.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2.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[final.xlsx]Surviving Children !PivotTable2</c:name>
    <c:fmtId val="0"/>
  </c:pivotSource>
  <c:chart>
    <c:autoTitleDeleted val="0"/>
    <c:pivotFmts>
      <c:pivotFmt>
        <c:idx val="0"/>
        <c:spPr>
          <a:gradFill>
            <a:gsLst>
              <a:gs pos="0">
                <a:srgbClr val="7030A0"/>
              </a:gs>
              <a:gs pos="74000">
                <a:schemeClr val="accent1">
                  <a:lumMod val="45000"/>
                  <a:lumOff val="55000"/>
                </a:schemeClr>
              </a:gs>
              <a:gs pos="100000">
                <a:schemeClr val="accent1">
                  <a:lumMod val="60000"/>
                  <a:lumOff val="40000"/>
                </a:schemeClr>
              </a:gs>
              <a:gs pos="24000">
                <a:srgbClr val="00B0F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6">
                  <a:lumMod val="20000"/>
                  <a:lumOff val="80000"/>
                </a:schemeClr>
              </a:gs>
              <a:gs pos="31000">
                <a:schemeClr val="accent6">
                  <a:lumMod val="75000"/>
                </a:schemeClr>
              </a:gs>
              <a:gs pos="99000">
                <a:schemeClr val="accent6">
                  <a:lumMod val="50000"/>
                </a:schemeClr>
              </a:gs>
              <a:gs pos="63000">
                <a:schemeClr val="accent6">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20000"/>
                  <a:lumOff val="80000"/>
                </a:schemeClr>
              </a:gs>
              <a:gs pos="31000">
                <a:schemeClr val="accent6">
                  <a:lumMod val="75000"/>
                </a:schemeClr>
              </a:gs>
              <a:gs pos="99000">
                <a:schemeClr val="accent6">
                  <a:lumMod val="50000"/>
                </a:schemeClr>
              </a:gs>
              <a:gs pos="63000">
                <a:schemeClr val="accent6">
                  <a:lumMod val="60000"/>
                  <a:lumOff val="40000"/>
                </a:schemeClr>
              </a:gs>
            </a:gsLst>
            <a:lin ang="5400000" scaled="1"/>
          </a:gra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'Surviving Children '!$G$69</c:f>
              <c:strCache>
                <c:ptCount val="1"/>
                <c:pt idx="0">
                  <c:v>Sum of Total ever married women</c:v>
                </c:pt>
              </c:strCache>
            </c:strRef>
          </c:tx>
          <c:spPr>
            <a:gradFill>
              <a:gsLst>
                <a:gs pos="0">
                  <a:srgbClr val="7030A0"/>
                </a:gs>
                <a:gs pos="74000">
                  <a:schemeClr val="accent1">
                    <a:lumMod val="45000"/>
                    <a:lumOff val="55000"/>
                  </a:schemeClr>
                </a:gs>
                <a:gs pos="100000">
                  <a:schemeClr val="accent1">
                    <a:lumMod val="60000"/>
                    <a:lumOff val="40000"/>
                  </a:schemeClr>
                </a:gs>
                <a:gs pos="24000">
                  <a:srgbClr val="00B0F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'Surviving Children '!$F$70:$F$72</c:f>
              <c:strCache>
                <c:ptCount val="2"/>
                <c:pt idx="0">
                  <c:v>Illiterate</c:v>
                </c:pt>
                <c:pt idx="1">
                  <c:v>Literate</c:v>
                </c:pt>
              </c:strCache>
            </c:strRef>
          </c:cat>
          <c:val>
            <c:numRef>
              <c:f>'Surviving Children '!$G$70:$G$72</c:f>
              <c:numCache>
                <c:formatCode>#,##0</c:formatCode>
                <c:ptCount val="2"/>
                <c:pt idx="0">
                  <c:v>453180</c:v>
                </c:pt>
                <c:pt idx="1">
                  <c:v>718105</c:v>
                </c:pt>
              </c:numCache>
            </c:numRef>
          </c:val>
          <c:extLst>
            <c:ext xmlns:c16="http://schemas.microsoft.com/office/drawing/2014/chart" uri="{C3380CC4-5D6E-409C-BE32-E72D297353CC}">
              <c16:uniqueId val="{00000000-D108-4C7B-8E1D-DB00B3DD0A34}"/>
            </c:ext>
          </c:extLst>
        </c:ser>
        <c:ser>
          <c:idx val="1"/>
          <c:order val="1"/>
          <c:tx>
            <c:strRef>
              <c:f>'Surviving Children '!$H$69</c:f>
              <c:strCache>
                <c:ptCount val="1"/>
                <c:pt idx="0">
                  <c:v>Sum of Total Surviving Children</c:v>
                </c:pt>
              </c:strCache>
            </c:strRef>
          </c:tx>
          <c:spPr>
            <a:gradFill>
              <a:gsLst>
                <a:gs pos="0">
                  <a:schemeClr val="accent6">
                    <a:lumMod val="20000"/>
                    <a:lumOff val="80000"/>
                  </a:schemeClr>
                </a:gs>
                <a:gs pos="31000">
                  <a:schemeClr val="accent6">
                    <a:lumMod val="75000"/>
                  </a:schemeClr>
                </a:gs>
                <a:gs pos="99000">
                  <a:schemeClr val="accent6">
                    <a:lumMod val="50000"/>
                  </a:schemeClr>
                </a:gs>
                <a:gs pos="63000">
                  <a:schemeClr val="accent6">
                    <a:lumMod val="60000"/>
                    <a:lumOff val="4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'Surviving Children '!$F$70:$F$72</c:f>
              <c:strCache>
                <c:ptCount val="2"/>
                <c:pt idx="0">
                  <c:v>Illiterate</c:v>
                </c:pt>
                <c:pt idx="1">
                  <c:v>Literate</c:v>
                </c:pt>
              </c:strCache>
            </c:strRef>
          </c:cat>
          <c:val>
            <c:numRef>
              <c:f>'Surviving Children '!$H$70:$H$72</c:f>
              <c:numCache>
                <c:formatCode>#,##0</c:formatCode>
                <c:ptCount val="2"/>
                <c:pt idx="0">
                  <c:v>1350911</c:v>
                </c:pt>
                <c:pt idx="1">
                  <c:v>1370182</c:v>
                </c:pt>
              </c:numCache>
            </c:numRef>
          </c:val>
          <c:extLst>
            <c:ext xmlns:c16="http://schemas.microsoft.com/office/drawing/2014/chart" uri="{C3380CC4-5D6E-409C-BE32-E72D297353CC}">
              <c16:uniqueId val="{00000001-D108-4C7B-8E1D-DB00B3DD0A34}"/>
            </c:ext>
          </c:extLst>
        </c:ser>
        <c:dLbls>
          <c:showLegendKey val="0"/>
          <c:showVal val="0"/>
          <c:showCatName val="0"/>
          <c:showSerName val="0"/>
          <c:showPercent val="0"/>
          <c:showBubbleSize val="0"/>
        </c:dLbls>
        <c:gapWidth val="219"/>
        <c:overlap val="-27"/>
        <c:axId val="1431936223"/>
        <c:axId val="1431938623"/>
      </c:barChart>
      <c:catAx>
        <c:axId val="1431936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431938623"/>
        <c:crosses val="autoZero"/>
        <c:auto val="1"/>
        <c:lblAlgn val="ctr"/>
        <c:lblOffset val="100"/>
        <c:noMultiLvlLbl val="0"/>
      </c:catAx>
      <c:valAx>
        <c:axId val="14319386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9362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[final.xlsx]Surviving Children !PivotTable1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050" b="1">
                <a:effectLst/>
              </a:rPr>
              <a:t>Surviving Male and Female Children</a:t>
            </a:r>
            <a:r>
              <a:rPr lang="en-IN" sz="1050">
                <a:effectLst/>
              </a:rPr>
              <a:t> by the </a:t>
            </a:r>
            <a:r>
              <a:rPr lang="en-IN" sz="1050" b="1">
                <a:effectLst/>
              </a:rPr>
              <a:t>current age of women</a:t>
            </a:r>
            <a:endParaRPr lang="en-IN" sz="1050">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gradFill>
            <a:gsLst>
              <a:gs pos="0">
                <a:srgbClr val="002060"/>
              </a:gs>
              <a:gs pos="91000">
                <a:srgbClr val="00B0F0"/>
              </a:gs>
              <a:gs pos="69000">
                <a:srgbClr val="0070C0"/>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rgbClr val="ED37CA"/>
              </a:gs>
              <a:gs pos="91000">
                <a:srgbClr val="FEF4FC"/>
              </a:gs>
              <a:gs pos="69000">
                <a:srgbClr val="EEA2DE"/>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74330479219809"/>
          <c:y val="0.21324357171444197"/>
          <c:w val="0.63392209451388914"/>
          <c:h val="0.51865900988063196"/>
        </c:manualLayout>
      </c:layout>
      <c:barChart>
        <c:barDir val="col"/>
        <c:grouping val="stacked"/>
        <c:varyColors val="0"/>
        <c:ser>
          <c:idx val="0"/>
          <c:order val="0"/>
          <c:tx>
            <c:strRef>
              <c:f>'Surviving Children '!$B$80</c:f>
              <c:strCache>
                <c:ptCount val="1"/>
                <c:pt idx="0">
                  <c:v>Sum of Total no. of surviving children (Male)</c:v>
                </c:pt>
              </c:strCache>
            </c:strRef>
          </c:tx>
          <c:spPr>
            <a:gradFill>
              <a:gsLst>
                <a:gs pos="0">
                  <a:srgbClr val="002060"/>
                </a:gs>
                <a:gs pos="91000">
                  <a:srgbClr val="00B0F0"/>
                </a:gs>
                <a:gs pos="69000">
                  <a:srgbClr val="0070C0"/>
                </a:gs>
                <a:gs pos="100000">
                  <a:schemeClr val="accent1">
                    <a:lumMod val="30000"/>
                    <a:lumOff val="70000"/>
                  </a:schemeClr>
                </a:gs>
              </a:gsLst>
              <a:lin ang="5400000" scaled="1"/>
            </a:gradFill>
            <a:ln>
              <a:noFill/>
            </a:ln>
            <a:effectLst/>
          </c:spPr>
          <c:invertIfNegative val="0"/>
          <c:cat>
            <c:strRef>
              <c:f>'Surviving Children '!$A$81:$A$96</c:f>
              <c:strCache>
                <c:ptCount val="15"/>
                <c:pt idx="0">
                  <c:v>15-19</c:v>
                </c:pt>
                <c:pt idx="1">
                  <c:v>20-24</c:v>
                </c:pt>
                <c:pt idx="2">
                  <c:v>25-29</c:v>
                </c:pt>
                <c:pt idx="3">
                  <c:v>30-34</c:v>
                </c:pt>
                <c:pt idx="4">
                  <c:v>35-39</c:v>
                </c:pt>
                <c:pt idx="5">
                  <c:v>40-44</c:v>
                </c:pt>
                <c:pt idx="6">
                  <c:v>45-49</c:v>
                </c:pt>
                <c:pt idx="7">
                  <c:v>50-54</c:v>
                </c:pt>
                <c:pt idx="8">
                  <c:v>55-59</c:v>
                </c:pt>
                <c:pt idx="9">
                  <c:v>60-64</c:v>
                </c:pt>
                <c:pt idx="10">
                  <c:v>65-69</c:v>
                </c:pt>
                <c:pt idx="11">
                  <c:v>70-74</c:v>
                </c:pt>
                <c:pt idx="12">
                  <c:v>75-79</c:v>
                </c:pt>
                <c:pt idx="13">
                  <c:v>80+</c:v>
                </c:pt>
                <c:pt idx="14">
                  <c:v>Less than 15</c:v>
                </c:pt>
              </c:strCache>
            </c:strRef>
          </c:cat>
          <c:val>
            <c:numRef>
              <c:f>'Surviving Children '!$B$81:$B$96</c:f>
              <c:numCache>
                <c:formatCode>#,##0</c:formatCode>
                <c:ptCount val="15"/>
                <c:pt idx="0">
                  <c:v>6861</c:v>
                </c:pt>
                <c:pt idx="1">
                  <c:v>49703</c:v>
                </c:pt>
                <c:pt idx="2">
                  <c:v>126143</c:v>
                </c:pt>
                <c:pt idx="3">
                  <c:v>176321</c:v>
                </c:pt>
                <c:pt idx="4">
                  <c:v>214919</c:v>
                </c:pt>
                <c:pt idx="5">
                  <c:v>192117</c:v>
                </c:pt>
                <c:pt idx="6">
                  <c:v>178531</c:v>
                </c:pt>
                <c:pt idx="7">
                  <c:v>137614</c:v>
                </c:pt>
                <c:pt idx="8">
                  <c:v>120606</c:v>
                </c:pt>
                <c:pt idx="9">
                  <c:v>110384</c:v>
                </c:pt>
                <c:pt idx="10">
                  <c:v>70919</c:v>
                </c:pt>
                <c:pt idx="11">
                  <c:v>47145</c:v>
                </c:pt>
                <c:pt idx="12">
                  <c:v>22374</c:v>
                </c:pt>
                <c:pt idx="13">
                  <c:v>27962</c:v>
                </c:pt>
                <c:pt idx="14">
                  <c:v>1314</c:v>
                </c:pt>
              </c:numCache>
            </c:numRef>
          </c:val>
          <c:extLst>
            <c:ext xmlns:c16="http://schemas.microsoft.com/office/drawing/2014/chart" uri="{C3380CC4-5D6E-409C-BE32-E72D297353CC}">
              <c16:uniqueId val="{00000000-1AB6-4256-BF6E-7D18B0DE87EB}"/>
            </c:ext>
          </c:extLst>
        </c:ser>
        <c:ser>
          <c:idx val="1"/>
          <c:order val="1"/>
          <c:tx>
            <c:strRef>
              <c:f>'Surviving Children '!$C$80</c:f>
              <c:strCache>
                <c:ptCount val="1"/>
                <c:pt idx="0">
                  <c:v>Sum of Total no. of surviving children (Female)</c:v>
                </c:pt>
              </c:strCache>
            </c:strRef>
          </c:tx>
          <c:spPr>
            <a:gradFill>
              <a:gsLst>
                <a:gs pos="0">
                  <a:srgbClr val="ED37CA"/>
                </a:gs>
                <a:gs pos="91000">
                  <a:srgbClr val="FEF4FC"/>
                </a:gs>
                <a:gs pos="69000">
                  <a:srgbClr val="EEA2DE"/>
                </a:gs>
                <a:gs pos="100000">
                  <a:schemeClr val="accent1">
                    <a:lumMod val="30000"/>
                    <a:lumOff val="70000"/>
                  </a:schemeClr>
                </a:gs>
              </a:gsLst>
              <a:lin ang="5400000" scaled="1"/>
            </a:gradFill>
            <a:ln>
              <a:noFill/>
            </a:ln>
            <a:effectLst/>
          </c:spPr>
          <c:invertIfNegative val="0"/>
          <c:cat>
            <c:strRef>
              <c:f>'Surviving Children '!$A$81:$A$96</c:f>
              <c:strCache>
                <c:ptCount val="15"/>
                <c:pt idx="0">
                  <c:v>15-19</c:v>
                </c:pt>
                <c:pt idx="1">
                  <c:v>20-24</c:v>
                </c:pt>
                <c:pt idx="2">
                  <c:v>25-29</c:v>
                </c:pt>
                <c:pt idx="3">
                  <c:v>30-34</c:v>
                </c:pt>
                <c:pt idx="4">
                  <c:v>35-39</c:v>
                </c:pt>
                <c:pt idx="5">
                  <c:v>40-44</c:v>
                </c:pt>
                <c:pt idx="6">
                  <c:v>45-49</c:v>
                </c:pt>
                <c:pt idx="7">
                  <c:v>50-54</c:v>
                </c:pt>
                <c:pt idx="8">
                  <c:v>55-59</c:v>
                </c:pt>
                <c:pt idx="9">
                  <c:v>60-64</c:v>
                </c:pt>
                <c:pt idx="10">
                  <c:v>65-69</c:v>
                </c:pt>
                <c:pt idx="11">
                  <c:v>70-74</c:v>
                </c:pt>
                <c:pt idx="12">
                  <c:v>75-79</c:v>
                </c:pt>
                <c:pt idx="13">
                  <c:v>80+</c:v>
                </c:pt>
                <c:pt idx="14">
                  <c:v>Less than 15</c:v>
                </c:pt>
              </c:strCache>
            </c:strRef>
          </c:cat>
          <c:val>
            <c:numRef>
              <c:f>'Surviving Children '!$C$81:$C$96</c:f>
              <c:numCache>
                <c:formatCode>#,##0</c:formatCode>
                <c:ptCount val="15"/>
                <c:pt idx="0">
                  <c:v>5985</c:v>
                </c:pt>
                <c:pt idx="1">
                  <c:v>45400</c:v>
                </c:pt>
                <c:pt idx="2">
                  <c:v>114736</c:v>
                </c:pt>
                <c:pt idx="3">
                  <c:v>158351</c:v>
                </c:pt>
                <c:pt idx="4">
                  <c:v>189546</c:v>
                </c:pt>
                <c:pt idx="5">
                  <c:v>163045</c:v>
                </c:pt>
                <c:pt idx="6">
                  <c:v>146288</c:v>
                </c:pt>
                <c:pt idx="7">
                  <c:v>107367</c:v>
                </c:pt>
                <c:pt idx="8">
                  <c:v>91265</c:v>
                </c:pt>
                <c:pt idx="9">
                  <c:v>84619</c:v>
                </c:pt>
                <c:pt idx="10">
                  <c:v>54492</c:v>
                </c:pt>
                <c:pt idx="11">
                  <c:v>36075</c:v>
                </c:pt>
                <c:pt idx="12">
                  <c:v>17599</c:v>
                </c:pt>
                <c:pt idx="13">
                  <c:v>22177</c:v>
                </c:pt>
                <c:pt idx="14">
                  <c:v>1235</c:v>
                </c:pt>
              </c:numCache>
            </c:numRef>
          </c:val>
          <c:extLst>
            <c:ext xmlns:c16="http://schemas.microsoft.com/office/drawing/2014/chart" uri="{C3380CC4-5D6E-409C-BE32-E72D297353CC}">
              <c16:uniqueId val="{00000001-1AB6-4256-BF6E-7D18B0DE87EB}"/>
            </c:ext>
          </c:extLst>
        </c:ser>
        <c:dLbls>
          <c:showLegendKey val="0"/>
          <c:showVal val="0"/>
          <c:showCatName val="0"/>
          <c:showSerName val="0"/>
          <c:showPercent val="0"/>
          <c:showBubbleSize val="0"/>
        </c:dLbls>
        <c:gapWidth val="150"/>
        <c:overlap val="100"/>
        <c:axId val="1089830512"/>
        <c:axId val="1089830992"/>
      </c:barChart>
      <c:catAx>
        <c:axId val="108983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830992"/>
        <c:crosses val="autoZero"/>
        <c:auto val="1"/>
        <c:lblAlgn val="ctr"/>
        <c:lblOffset val="100"/>
        <c:noMultiLvlLbl val="0"/>
      </c:catAx>
      <c:valAx>
        <c:axId val="10898309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830512"/>
        <c:crosses val="autoZero"/>
        <c:crossBetween val="between"/>
      </c:valAx>
      <c:spPr>
        <a:noFill/>
        <a:ln>
          <a:noFill/>
        </a:ln>
        <a:effectLst/>
      </c:spPr>
    </c:plotArea>
    <c:legend>
      <c:legendPos val="r"/>
      <c:layout>
        <c:manualLayout>
          <c:xMode val="edge"/>
          <c:yMode val="edge"/>
          <c:x val="0.76088712323732588"/>
          <c:y val="0.25572918770263375"/>
          <c:w val="0.22244322035010655"/>
          <c:h val="0.6271752260869245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[final.xlsx]Surviving Children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a:t>
            </a:r>
            <a:r>
              <a:rPr lang="en-IN" b="1" baseline="0"/>
              <a:t> Surviving Children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gradFill>
            <a:gsLst>
              <a:gs pos="0">
                <a:srgbClr val="002060"/>
              </a:gs>
              <a:gs pos="91000">
                <a:srgbClr val="00B0F0"/>
              </a:gs>
              <a:gs pos="69000">
                <a:srgbClr val="0070C0"/>
              </a:gs>
              <a:gs pos="100000">
                <a:schemeClr val="accent1">
                  <a:lumMod val="30000"/>
                  <a:lumOff val="7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2">
                  <a:lumMod val="75000"/>
                </a:schemeClr>
              </a:gs>
              <a:gs pos="91000">
                <a:schemeClr val="accent4">
                  <a:lumMod val="60000"/>
                  <a:lumOff val="40000"/>
                </a:schemeClr>
              </a:gs>
              <a:gs pos="69000">
                <a:schemeClr val="accent2">
                  <a:lumMod val="60000"/>
                  <a:lumOff val="40000"/>
                </a:schemeClr>
              </a:gs>
              <a:gs pos="100000">
                <a:schemeClr val="accent1">
                  <a:lumMod val="30000"/>
                  <a:lumOff val="70000"/>
                </a:schemeClr>
              </a:gs>
            </a:gsLst>
            <a:lin ang="5400000" scaled="1"/>
          </a:gradFill>
          <a:ln w="19050">
            <a:solidFill>
              <a:schemeClr val="lt1"/>
            </a:solidFill>
          </a:ln>
          <a:effectLst/>
        </c:spPr>
      </c:pivotFmt>
      <c:pivotFmt>
        <c:idx val="2"/>
        <c:spPr>
          <a:gradFill>
            <a:gsLst>
              <a:gs pos="0">
                <a:schemeClr val="accent6">
                  <a:lumMod val="75000"/>
                </a:schemeClr>
              </a:gs>
              <a:gs pos="91000">
                <a:schemeClr val="accent6">
                  <a:lumMod val="40000"/>
                  <a:lumOff val="60000"/>
                </a:schemeClr>
              </a:gs>
              <a:gs pos="69000">
                <a:schemeClr val="accent6">
                  <a:lumMod val="40000"/>
                  <a:lumOff val="60000"/>
                </a:schemeClr>
              </a:gs>
              <a:gs pos="100000">
                <a:schemeClr val="accent1">
                  <a:lumMod val="30000"/>
                  <a:lumOff val="70000"/>
                </a:schemeClr>
              </a:gs>
            </a:gsLst>
            <a:lin ang="5400000" scaled="1"/>
          </a:gra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16054893054965783"/>
          <c:y val="0.26346468174775756"/>
          <c:w val="0.65376428452928159"/>
          <c:h val="0.70406925686256472"/>
        </c:manualLayout>
      </c:layout>
      <c:doughnutChart>
        <c:varyColors val="1"/>
        <c:ser>
          <c:idx val="0"/>
          <c:order val="0"/>
          <c:tx>
            <c:strRef>
              <c:f>'Surviving Children '!$F$92</c:f>
              <c:strCache>
                <c:ptCount val="1"/>
                <c:pt idx="0">
                  <c:v>Sum of Total Surviving Children</c:v>
                </c:pt>
              </c:strCache>
            </c:strRef>
          </c:tx>
          <c:spPr>
            <a:gradFill>
              <a:gsLst>
                <a:gs pos="0">
                  <a:srgbClr val="002060"/>
                </a:gs>
                <a:gs pos="91000">
                  <a:srgbClr val="00B0F0"/>
                </a:gs>
                <a:gs pos="69000">
                  <a:srgbClr val="0070C0"/>
                </a:gs>
                <a:gs pos="100000">
                  <a:schemeClr val="accent1">
                    <a:lumMod val="30000"/>
                    <a:lumOff val="70000"/>
                  </a:schemeClr>
                </a:gs>
              </a:gsLst>
              <a:lin ang="5400000" scaled="1"/>
            </a:gradFill>
          </c:spPr>
          <c:dPt>
            <c:idx val="0"/>
            <c:bubble3D val="0"/>
            <c:spPr>
              <a:gradFill>
                <a:gsLst>
                  <a:gs pos="0">
                    <a:schemeClr val="accent2">
                      <a:lumMod val="75000"/>
                    </a:schemeClr>
                  </a:gs>
                  <a:gs pos="91000">
                    <a:schemeClr val="accent4">
                      <a:lumMod val="60000"/>
                      <a:lumOff val="40000"/>
                    </a:schemeClr>
                  </a:gs>
                  <a:gs pos="69000">
                    <a:schemeClr val="accent2">
                      <a:lumMod val="60000"/>
                      <a:lumOff val="40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2-9DB0-4719-BA02-FB4A3FCC5AFE}"/>
              </c:ext>
            </c:extLst>
          </c:dPt>
          <c:dPt>
            <c:idx val="1"/>
            <c:bubble3D val="0"/>
            <c:spPr>
              <a:gradFill>
                <a:gsLst>
                  <a:gs pos="0">
                    <a:schemeClr val="accent6">
                      <a:lumMod val="75000"/>
                    </a:schemeClr>
                  </a:gs>
                  <a:gs pos="91000">
                    <a:schemeClr val="accent6">
                      <a:lumMod val="40000"/>
                      <a:lumOff val="60000"/>
                    </a:schemeClr>
                  </a:gs>
                  <a:gs pos="69000">
                    <a:schemeClr val="accent6">
                      <a:lumMod val="40000"/>
                      <a:lumOff val="60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3-9DB0-4719-BA02-FB4A3FCC5AFE}"/>
              </c:ext>
            </c:extLst>
          </c:dPt>
          <c:cat>
            <c:strRef>
              <c:f>'Surviving Children '!$E$93:$E$95</c:f>
              <c:strCache>
                <c:ptCount val="2"/>
                <c:pt idx="0">
                  <c:v>Rural</c:v>
                </c:pt>
                <c:pt idx="1">
                  <c:v>Urban</c:v>
                </c:pt>
              </c:strCache>
            </c:strRef>
          </c:cat>
          <c:val>
            <c:numRef>
              <c:f>'Surviving Children '!$F$93:$F$95</c:f>
              <c:numCache>
                <c:formatCode>#,##0</c:formatCode>
                <c:ptCount val="2"/>
                <c:pt idx="0">
                  <c:v>1017744</c:v>
                </c:pt>
                <c:pt idx="1">
                  <c:v>1703349</c:v>
                </c:pt>
              </c:numCache>
            </c:numRef>
          </c:val>
          <c:extLst>
            <c:ext xmlns:c16="http://schemas.microsoft.com/office/drawing/2014/chart" uri="{C3380CC4-5D6E-409C-BE32-E72D297353CC}">
              <c16:uniqueId val="{00000000-9DB0-4719-BA02-FB4A3FCC5AFE}"/>
            </c:ext>
          </c:extLst>
        </c:ser>
        <c:ser>
          <c:idx val="1"/>
          <c:order val="1"/>
          <c:tx>
            <c:strRef>
              <c:f>'Surviving Children '!$G$92</c:f>
              <c:strCache>
                <c:ptCount val="1"/>
                <c:pt idx="0">
                  <c:v>Percentage of Total Surviving Children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9DB0-4719-BA02-FB4A3FCC5A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9DB0-4719-BA02-FB4A3FCC5AFE}"/>
              </c:ext>
            </c:extLst>
          </c:dPt>
          <c:cat>
            <c:strRef>
              <c:f>'Surviving Children '!$E$93:$E$95</c:f>
              <c:strCache>
                <c:ptCount val="2"/>
                <c:pt idx="0">
                  <c:v>Rural</c:v>
                </c:pt>
                <c:pt idx="1">
                  <c:v>Urban</c:v>
                </c:pt>
              </c:strCache>
            </c:strRef>
          </c:cat>
          <c:val>
            <c:numRef>
              <c:f>'Surviving Children '!$G$93:$G$95</c:f>
              <c:numCache>
                <c:formatCode>0.00%</c:formatCode>
                <c:ptCount val="2"/>
                <c:pt idx="0">
                  <c:v>0.3740202925809592</c:v>
                </c:pt>
                <c:pt idx="1">
                  <c:v>0.62597970741904085</c:v>
                </c:pt>
              </c:numCache>
            </c:numRef>
          </c:val>
          <c:extLst>
            <c:ext xmlns:c16="http://schemas.microsoft.com/office/drawing/2014/chart" uri="{C3380CC4-5D6E-409C-BE32-E72D297353CC}">
              <c16:uniqueId val="{00000004-9DB0-4719-BA02-FB4A3FCC5AF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[final.xlsx]Surviving Children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No.</a:t>
            </a:r>
            <a:r>
              <a:rPr lang="en-IN" sz="1200" b="1" baseline="0"/>
              <a:t> of Surviving Children By current age of women</a:t>
            </a:r>
            <a:endParaRPr lang="en-IN"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gradFill>
              <a:gsLst>
                <a:gs pos="0">
                  <a:srgbClr val="C00000"/>
                </a:gs>
                <a:gs pos="74000">
                  <a:srgbClr val="FFC000"/>
                </a:gs>
                <a:gs pos="83000">
                  <a:srgbClr val="FFFF00"/>
                </a:gs>
                <a:gs pos="100000">
                  <a:schemeClr val="accent4">
                    <a:lumMod val="60000"/>
                    <a:lumOff val="4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'Surviving Children '!$M$65</c:f>
              <c:strCache>
                <c:ptCount val="1"/>
                <c:pt idx="0">
                  <c:v>Total</c:v>
                </c:pt>
              </c:strCache>
            </c:strRef>
          </c:tx>
          <c:spPr>
            <a:ln w="28575" cap="rnd">
              <a:gradFill>
                <a:gsLst>
                  <a:gs pos="0">
                    <a:srgbClr val="C00000"/>
                  </a:gs>
                  <a:gs pos="74000">
                    <a:srgbClr val="FFC000"/>
                  </a:gs>
                  <a:gs pos="83000">
                    <a:srgbClr val="FFFF00"/>
                  </a:gs>
                  <a:gs pos="100000">
                    <a:schemeClr val="accent4">
                      <a:lumMod val="60000"/>
                      <a:lumOff val="40000"/>
                    </a:schemeClr>
                  </a:gs>
                </a:gsLst>
                <a:lin ang="5400000" scaled="1"/>
              </a:gradFill>
              <a:round/>
            </a:ln>
            <a:effectLst/>
          </c:spPr>
          <c:marker>
            <c:symbol val="none"/>
          </c:marker>
          <c:cat>
            <c:strRef>
              <c:f>'Surviving Children '!$L$66:$L$81</c:f>
              <c:strCache>
                <c:ptCount val="15"/>
                <c:pt idx="0">
                  <c:v>15-19</c:v>
                </c:pt>
                <c:pt idx="1">
                  <c:v>20-24</c:v>
                </c:pt>
                <c:pt idx="2">
                  <c:v>25-29</c:v>
                </c:pt>
                <c:pt idx="3">
                  <c:v>30-34</c:v>
                </c:pt>
                <c:pt idx="4">
                  <c:v>35-39</c:v>
                </c:pt>
                <c:pt idx="5">
                  <c:v>40-44</c:v>
                </c:pt>
                <c:pt idx="6">
                  <c:v>45-49</c:v>
                </c:pt>
                <c:pt idx="7">
                  <c:v>50-54</c:v>
                </c:pt>
                <c:pt idx="8">
                  <c:v>55-59</c:v>
                </c:pt>
                <c:pt idx="9">
                  <c:v>60-64</c:v>
                </c:pt>
                <c:pt idx="10">
                  <c:v>65-69</c:v>
                </c:pt>
                <c:pt idx="11">
                  <c:v>70-74</c:v>
                </c:pt>
                <c:pt idx="12">
                  <c:v>75-79</c:v>
                </c:pt>
                <c:pt idx="13">
                  <c:v>80+</c:v>
                </c:pt>
                <c:pt idx="14">
                  <c:v>Less than 15</c:v>
                </c:pt>
              </c:strCache>
            </c:strRef>
          </c:cat>
          <c:val>
            <c:numRef>
              <c:f>'Surviving Children '!$M$66:$M$81</c:f>
              <c:numCache>
                <c:formatCode>#,##0</c:formatCode>
                <c:ptCount val="15"/>
                <c:pt idx="0">
                  <c:v>12846</c:v>
                </c:pt>
                <c:pt idx="1">
                  <c:v>95103</c:v>
                </c:pt>
                <c:pt idx="2">
                  <c:v>240879</c:v>
                </c:pt>
                <c:pt idx="3">
                  <c:v>334672</c:v>
                </c:pt>
                <c:pt idx="4">
                  <c:v>404465</c:v>
                </c:pt>
                <c:pt idx="5">
                  <c:v>355162</c:v>
                </c:pt>
                <c:pt idx="6">
                  <c:v>324819</c:v>
                </c:pt>
                <c:pt idx="7">
                  <c:v>244981</c:v>
                </c:pt>
                <c:pt idx="8">
                  <c:v>211871</c:v>
                </c:pt>
                <c:pt idx="9">
                  <c:v>195003</c:v>
                </c:pt>
                <c:pt idx="10">
                  <c:v>125411</c:v>
                </c:pt>
                <c:pt idx="11">
                  <c:v>83220</c:v>
                </c:pt>
                <c:pt idx="12">
                  <c:v>39973</c:v>
                </c:pt>
                <c:pt idx="13">
                  <c:v>50139</c:v>
                </c:pt>
                <c:pt idx="14">
                  <c:v>2549</c:v>
                </c:pt>
              </c:numCache>
            </c:numRef>
          </c:val>
          <c:smooth val="0"/>
          <c:extLst>
            <c:ext xmlns:c16="http://schemas.microsoft.com/office/drawing/2014/chart" uri="{C3380CC4-5D6E-409C-BE32-E72D297353CC}">
              <c16:uniqueId val="{00000000-2A48-463A-B9E5-25AB01523ECA}"/>
            </c:ext>
          </c:extLst>
        </c:ser>
        <c:dLbls>
          <c:showLegendKey val="0"/>
          <c:showVal val="0"/>
          <c:showCatName val="0"/>
          <c:showSerName val="0"/>
          <c:showPercent val="0"/>
          <c:showBubbleSize val="0"/>
        </c:dLbls>
        <c:smooth val="0"/>
        <c:axId val="1082971104"/>
        <c:axId val="1082987904"/>
      </c:lineChart>
      <c:catAx>
        <c:axId val="108297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987904"/>
        <c:crosses val="autoZero"/>
        <c:auto val="1"/>
        <c:lblAlgn val="ctr"/>
        <c:lblOffset val="100"/>
        <c:noMultiLvlLbl val="0"/>
      </c:catAx>
      <c:valAx>
        <c:axId val="10829879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97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Male vs Female Population by Age Group</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Population!$D$3</c:f>
              <c:strCache>
                <c:ptCount val="1"/>
                <c:pt idx="0">
                  <c:v>Male Population </c:v>
                </c:pt>
              </c:strCache>
            </c:strRef>
          </c:tx>
          <c:spPr>
            <a:solidFill>
              <a:srgbClr val="00B0F0"/>
            </a:solidFill>
            <a:ln>
              <a:noFill/>
            </a:ln>
            <a:effectLst/>
          </c:spPr>
          <c:invertIfNegative val="0"/>
          <c:cat>
            <c:strRef>
              <c:f>Population!$C$4:$C$13</c:f>
              <c:strCache>
                <c:ptCount val="10"/>
                <c:pt idx="0">
                  <c:v>0-19</c:v>
                </c:pt>
                <c:pt idx="1">
                  <c:v>20-39</c:v>
                </c:pt>
                <c:pt idx="2">
                  <c:v>40-59</c:v>
                </c:pt>
                <c:pt idx="3">
                  <c:v>60-79</c:v>
                </c:pt>
                <c:pt idx="4">
                  <c:v>80+</c:v>
                </c:pt>
                <c:pt idx="5">
                  <c:v>0-19</c:v>
                </c:pt>
                <c:pt idx="6">
                  <c:v>20-39</c:v>
                </c:pt>
                <c:pt idx="7">
                  <c:v>40-59</c:v>
                </c:pt>
                <c:pt idx="8">
                  <c:v>60-79</c:v>
                </c:pt>
                <c:pt idx="9">
                  <c:v>80+</c:v>
                </c:pt>
              </c:strCache>
            </c:strRef>
          </c:cat>
          <c:val>
            <c:numRef>
              <c:f>Population!$D$4:$D$13</c:f>
              <c:numCache>
                <c:formatCode>General</c:formatCode>
                <c:ptCount val="10"/>
                <c:pt idx="0">
                  <c:v>306652</c:v>
                </c:pt>
                <c:pt idx="1">
                  <c:v>239765</c:v>
                </c:pt>
                <c:pt idx="2">
                  <c:v>119580</c:v>
                </c:pt>
                <c:pt idx="3">
                  <c:v>57809</c:v>
                </c:pt>
                <c:pt idx="4">
                  <c:v>6954</c:v>
                </c:pt>
                <c:pt idx="5">
                  <c:v>471996</c:v>
                </c:pt>
                <c:pt idx="6">
                  <c:v>536182</c:v>
                </c:pt>
                <c:pt idx="7">
                  <c:v>314960</c:v>
                </c:pt>
                <c:pt idx="8">
                  <c:v>107823</c:v>
                </c:pt>
                <c:pt idx="9">
                  <c:v>13424</c:v>
                </c:pt>
              </c:numCache>
            </c:numRef>
          </c:val>
          <c:extLst>
            <c:ext xmlns:c16="http://schemas.microsoft.com/office/drawing/2014/chart" uri="{C3380CC4-5D6E-409C-BE32-E72D297353CC}">
              <c16:uniqueId val="{00000000-BF80-4FB4-932F-DE7EB4BAF2B9}"/>
            </c:ext>
          </c:extLst>
        </c:ser>
        <c:ser>
          <c:idx val="1"/>
          <c:order val="1"/>
          <c:tx>
            <c:strRef>
              <c:f>Population!$E$3</c:f>
              <c:strCache>
                <c:ptCount val="1"/>
                <c:pt idx="0">
                  <c:v>Female Population</c:v>
                </c:pt>
              </c:strCache>
            </c:strRef>
          </c:tx>
          <c:spPr>
            <a:solidFill>
              <a:srgbClr val="ED37CA"/>
            </a:solidFill>
            <a:ln>
              <a:noFill/>
            </a:ln>
            <a:effectLst/>
          </c:spPr>
          <c:invertIfNegative val="0"/>
          <c:cat>
            <c:strRef>
              <c:f>Population!$C$4:$C$13</c:f>
              <c:strCache>
                <c:ptCount val="10"/>
                <c:pt idx="0">
                  <c:v>0-19</c:v>
                </c:pt>
                <c:pt idx="1">
                  <c:v>20-39</c:v>
                </c:pt>
                <c:pt idx="2">
                  <c:v>40-59</c:v>
                </c:pt>
                <c:pt idx="3">
                  <c:v>60-79</c:v>
                </c:pt>
                <c:pt idx="4">
                  <c:v>80+</c:v>
                </c:pt>
                <c:pt idx="5">
                  <c:v>0-19</c:v>
                </c:pt>
                <c:pt idx="6">
                  <c:v>20-39</c:v>
                </c:pt>
                <c:pt idx="7">
                  <c:v>40-59</c:v>
                </c:pt>
                <c:pt idx="8">
                  <c:v>60-79</c:v>
                </c:pt>
                <c:pt idx="9">
                  <c:v>80+</c:v>
                </c:pt>
              </c:strCache>
            </c:strRef>
          </c:cat>
          <c:val>
            <c:numRef>
              <c:f>Population!$E$4:$E$13</c:f>
              <c:numCache>
                <c:formatCode>General</c:formatCode>
                <c:ptCount val="10"/>
                <c:pt idx="0">
                  <c:v>276303</c:v>
                </c:pt>
                <c:pt idx="1">
                  <c:v>213365</c:v>
                </c:pt>
                <c:pt idx="2">
                  <c:v>106242</c:v>
                </c:pt>
                <c:pt idx="3">
                  <c:v>56052</c:v>
                </c:pt>
                <c:pt idx="4">
                  <c:v>7379</c:v>
                </c:pt>
                <c:pt idx="5">
                  <c:v>420180</c:v>
                </c:pt>
                <c:pt idx="6">
                  <c:v>514499</c:v>
                </c:pt>
                <c:pt idx="7">
                  <c:v>288908</c:v>
                </c:pt>
                <c:pt idx="8">
                  <c:v>96186</c:v>
                </c:pt>
                <c:pt idx="9">
                  <c:v>13759</c:v>
                </c:pt>
              </c:numCache>
            </c:numRef>
          </c:val>
          <c:extLst>
            <c:ext xmlns:c16="http://schemas.microsoft.com/office/drawing/2014/chart" uri="{C3380CC4-5D6E-409C-BE32-E72D297353CC}">
              <c16:uniqueId val="{00000001-BF80-4FB4-932F-DE7EB4BAF2B9}"/>
            </c:ext>
          </c:extLst>
        </c:ser>
        <c:dLbls>
          <c:showLegendKey val="0"/>
          <c:showVal val="0"/>
          <c:showCatName val="0"/>
          <c:showSerName val="0"/>
          <c:showPercent val="0"/>
          <c:showBubbleSize val="0"/>
        </c:dLbls>
        <c:gapWidth val="182"/>
        <c:axId val="727220719"/>
        <c:axId val="727228399"/>
      </c:barChart>
      <c:catAx>
        <c:axId val="727220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7228399"/>
        <c:crosses val="autoZero"/>
        <c:auto val="1"/>
        <c:lblAlgn val="ctr"/>
        <c:lblOffset val="100"/>
        <c:noMultiLvlLbl val="0"/>
      </c:catAx>
      <c:valAx>
        <c:axId val="7272283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72207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Urban vs Rural Share of Total Population</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doughnutChart>
        <c:varyColors val="1"/>
        <c:ser>
          <c:idx val="2"/>
          <c:order val="2"/>
          <c:spPr>
            <a:gradFill>
              <a:gsLst>
                <a:gs pos="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c:spPr>
          <c:dPt>
            <c:idx val="0"/>
            <c:bubble3D val="0"/>
            <c:spPr>
              <a:gradFill>
                <a:gsLst>
                  <a:gs pos="21000">
                    <a:srgbClr val="C7091B"/>
                  </a:gs>
                  <a:gs pos="100000">
                    <a:srgbClr val="EEA2DE"/>
                  </a:gs>
                  <a:gs pos="99000">
                    <a:srgbClr val="ED37CA"/>
                  </a:gs>
                  <a:gs pos="100000">
                    <a:schemeClr val="accent1">
                      <a:lumMod val="30000"/>
                      <a:lumOff val="70000"/>
                    </a:schemeClr>
                  </a:gs>
                </a:gsLst>
                <a:lin ang="5400000" scaled="1"/>
              </a:gradFill>
              <a:ln w="19050">
                <a:noFill/>
              </a:ln>
              <a:effectLst/>
            </c:spPr>
            <c:extLst>
              <c:ext xmlns:c16="http://schemas.microsoft.com/office/drawing/2014/chart" uri="{C3380CC4-5D6E-409C-BE32-E72D297353CC}">
                <c16:uniqueId val="{00000003-A087-4449-90FF-A1FD132DED40}"/>
              </c:ext>
            </c:extLst>
          </c:dPt>
          <c:dPt>
            <c:idx val="1"/>
            <c:bubble3D val="0"/>
            <c:spPr>
              <a:gradFill>
                <a:gsLst>
                  <a:gs pos="0">
                    <a:srgbClr val="7030A0"/>
                  </a:gs>
                  <a:gs pos="74000">
                    <a:srgbClr val="7030A0"/>
                  </a:gs>
                  <a:gs pos="83000">
                    <a:srgbClr val="7030A0"/>
                  </a:gs>
                  <a:gs pos="100000">
                    <a:schemeClr val="accent1">
                      <a:lumMod val="30000"/>
                      <a:lumOff val="70000"/>
                    </a:schemeClr>
                  </a:gs>
                </a:gsLst>
                <a:lin ang="5400000" scaled="1"/>
              </a:gradFill>
              <a:ln w="19050">
                <a:noFill/>
              </a:ln>
              <a:effectLst/>
            </c:spPr>
            <c:extLst>
              <c:ext xmlns:c16="http://schemas.microsoft.com/office/drawing/2014/chart" uri="{C3380CC4-5D6E-409C-BE32-E72D297353CC}">
                <c16:uniqueId val="{00000004-A087-4449-90FF-A1FD132DED40}"/>
              </c:ext>
            </c:extLst>
          </c:dPt>
          <c:dLbls>
            <c:dLbl>
              <c:idx val="0"/>
              <c:layout>
                <c:manualLayout>
                  <c:x val="9.166666666666666E-2"/>
                  <c:y val="-2.777777777777777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087-4449-90FF-A1FD132DED40}"/>
                </c:ext>
              </c:extLst>
            </c:dLbl>
            <c:dLbl>
              <c:idx val="1"/>
              <c:layout>
                <c:manualLayout>
                  <c:x val="-8.0555555555555561E-2"/>
                  <c:y val="-5.555555555555555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087-4449-90FF-A1FD132DED40}"/>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Population!$A$16:$A$17</c:f>
              <c:strCache>
                <c:ptCount val="2"/>
                <c:pt idx="0">
                  <c:v>Urban Share in Population</c:v>
                </c:pt>
                <c:pt idx="1">
                  <c:v>Rural Share in Population</c:v>
                </c:pt>
              </c:strCache>
            </c:strRef>
          </c:cat>
          <c:val>
            <c:numRef>
              <c:f>Population!$D$16:$D$17</c:f>
              <c:numCache>
                <c:formatCode>0%</c:formatCode>
                <c:ptCount val="2"/>
                <c:pt idx="0">
                  <c:v>0.66648392593314132</c:v>
                </c:pt>
                <c:pt idx="1">
                  <c:v>0.33351607406685863</c:v>
                </c:pt>
              </c:numCache>
            </c:numRef>
          </c:val>
          <c:extLst>
            <c:ext xmlns:c16="http://schemas.microsoft.com/office/drawing/2014/chart" uri="{C3380CC4-5D6E-409C-BE32-E72D297353CC}">
              <c16:uniqueId val="{00000002-A087-4449-90FF-A1FD132DED40}"/>
            </c:ext>
          </c:extLst>
        </c:ser>
        <c:dLbls>
          <c:showLegendKey val="0"/>
          <c:showVal val="1"/>
          <c:showCatName val="0"/>
          <c:showSerName val="0"/>
          <c:showPercent val="0"/>
          <c:showBubbleSize val="0"/>
          <c:showLeaderLines val="1"/>
        </c:dLbls>
        <c:firstSliceAng val="0"/>
        <c:holeSize val="75"/>
        <c:extLst>
          <c:ext xmlns:c15="http://schemas.microsoft.com/office/drawing/2012/chart" uri="{02D57815-91ED-43cb-92C2-25804820EDAC}">
            <c15:filteredPieSeries>
              <c15: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5-99F0-41DE-AF81-A05823EFEF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99F0-41DE-AF81-A05823EFEF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ormulaRef>
                          <c15:sqref>Population!$A$16:$A$17</c15:sqref>
                        </c15:formulaRef>
                      </c:ext>
                    </c:extLst>
                    <c:strCache>
                      <c:ptCount val="2"/>
                      <c:pt idx="0">
                        <c:v>Urban Share in Population</c:v>
                      </c:pt>
                      <c:pt idx="1">
                        <c:v>Rural Share in Population</c:v>
                      </c:pt>
                    </c:strCache>
                  </c:strRef>
                </c:cat>
                <c:val>
                  <c:numRef>
                    <c:extLst>
                      <c:ext uri="{02D57815-91ED-43cb-92C2-25804820EDAC}">
                        <c15:formulaRef>
                          <c15:sqref>Population!$B$16:$B$17</c15:sqref>
                        </c15:formulaRef>
                      </c:ext>
                    </c:extLst>
                    <c:numCache>
                      <c:formatCode>General</c:formatCode>
                      <c:ptCount val="2"/>
                    </c:numCache>
                  </c:numRef>
                </c:val>
                <c:extLst>
                  <c:ext xmlns:c16="http://schemas.microsoft.com/office/drawing/2014/chart" uri="{C3380CC4-5D6E-409C-BE32-E72D297353CC}">
                    <c16:uniqueId val="{00000000-A087-4449-90FF-A1FD132DED40}"/>
                  </c:ext>
                </c:extLst>
              </c15:ser>
            </c15:filteredPieSeries>
            <c15:filteredPieSeries>
              <c15:ser>
                <c:idx val="1"/>
                <c:order val="1"/>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09-99F0-41DE-AF81-A05823EFEF25}"/>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0B-99F0-41DE-AF81-A05823EFEF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Population!$A$16:$A$17</c15:sqref>
                        </c15:formulaRef>
                      </c:ext>
                    </c:extLst>
                    <c:strCache>
                      <c:ptCount val="2"/>
                      <c:pt idx="0">
                        <c:v>Urban Share in Population</c:v>
                      </c:pt>
                      <c:pt idx="1">
                        <c:v>Rural Share in Population</c:v>
                      </c:pt>
                    </c:strCache>
                  </c:strRef>
                </c:cat>
                <c:val>
                  <c:numRef>
                    <c:extLst xmlns:c15="http://schemas.microsoft.com/office/drawing/2012/chart">
                      <c:ext xmlns:c15="http://schemas.microsoft.com/office/drawing/2012/chart" uri="{02D57815-91ED-43cb-92C2-25804820EDAC}">
                        <c15:formulaRef>
                          <c15:sqref>Population!$C$16:$C$17</c15:sqref>
                        </c15:formulaRef>
                      </c:ext>
                    </c:extLst>
                    <c:numCache>
                      <c:formatCode>General</c:formatCode>
                      <c:ptCount val="2"/>
                    </c:numCache>
                  </c:numRef>
                </c:val>
                <c:extLst xmlns:c15="http://schemas.microsoft.com/office/drawing/2012/chart">
                  <c:ext xmlns:c16="http://schemas.microsoft.com/office/drawing/2014/chart" uri="{C3380CC4-5D6E-409C-BE32-E72D297353CC}">
                    <c16:uniqueId val="{00000001-A087-4449-90FF-A1FD132DED40}"/>
                  </c:ext>
                </c:extLst>
              </c15:ser>
            </c15:filteredPieSeries>
          </c:ext>
        </c:extLst>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[final.xlsx]Population!PivotTable51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Rural</a:t>
            </a:r>
            <a:r>
              <a:rPr lang="en-IN" b="1" baseline="0"/>
              <a:t> Urban Population By Age Group</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rgbClr val="EEA2D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Population!$M$23:$M$24</c:f>
              <c:strCache>
                <c:ptCount val="1"/>
                <c:pt idx="0">
                  <c:v>Rural</c:v>
                </c:pt>
              </c:strCache>
            </c:strRef>
          </c:tx>
          <c:spPr>
            <a:ln w="28575" cap="rnd">
              <a:solidFill>
                <a:srgbClr val="EEA2DE"/>
              </a:solidFill>
              <a:round/>
            </a:ln>
            <a:effectLst/>
          </c:spPr>
          <c:marker>
            <c:symbol val="none"/>
          </c:marker>
          <c:cat>
            <c:strRef>
              <c:f>Population!$L$25:$L$30</c:f>
              <c:strCache>
                <c:ptCount val="5"/>
                <c:pt idx="0">
                  <c:v>0-19</c:v>
                </c:pt>
                <c:pt idx="1">
                  <c:v>20-39</c:v>
                </c:pt>
                <c:pt idx="2">
                  <c:v>40-59</c:v>
                </c:pt>
                <c:pt idx="3">
                  <c:v>60-79</c:v>
                </c:pt>
                <c:pt idx="4">
                  <c:v>80+</c:v>
                </c:pt>
              </c:strCache>
            </c:strRef>
          </c:cat>
          <c:val>
            <c:numRef>
              <c:f>Population!$M$25:$M$30</c:f>
              <c:numCache>
                <c:formatCode>General</c:formatCode>
                <c:ptCount val="5"/>
                <c:pt idx="0">
                  <c:v>582955</c:v>
                </c:pt>
                <c:pt idx="1">
                  <c:v>453130</c:v>
                </c:pt>
                <c:pt idx="2">
                  <c:v>225822</c:v>
                </c:pt>
                <c:pt idx="3">
                  <c:v>113861</c:v>
                </c:pt>
                <c:pt idx="4">
                  <c:v>14333</c:v>
                </c:pt>
              </c:numCache>
            </c:numRef>
          </c:val>
          <c:smooth val="0"/>
          <c:extLst>
            <c:ext xmlns:c16="http://schemas.microsoft.com/office/drawing/2014/chart" uri="{C3380CC4-5D6E-409C-BE32-E72D297353CC}">
              <c16:uniqueId val="{00000000-E833-4B87-8272-D2533A6B38B9}"/>
            </c:ext>
          </c:extLst>
        </c:ser>
        <c:ser>
          <c:idx val="1"/>
          <c:order val="1"/>
          <c:tx>
            <c:strRef>
              <c:f>Population!$N$23:$N$24</c:f>
              <c:strCache>
                <c:ptCount val="1"/>
                <c:pt idx="0">
                  <c:v>Urban</c:v>
                </c:pt>
              </c:strCache>
            </c:strRef>
          </c:tx>
          <c:spPr>
            <a:ln w="28575" cap="rnd">
              <a:solidFill>
                <a:srgbClr val="FFFF00"/>
              </a:solidFill>
              <a:round/>
            </a:ln>
            <a:effectLst/>
          </c:spPr>
          <c:marker>
            <c:symbol val="none"/>
          </c:marker>
          <c:cat>
            <c:strRef>
              <c:f>Population!$L$25:$L$30</c:f>
              <c:strCache>
                <c:ptCount val="5"/>
                <c:pt idx="0">
                  <c:v>0-19</c:v>
                </c:pt>
                <c:pt idx="1">
                  <c:v>20-39</c:v>
                </c:pt>
                <c:pt idx="2">
                  <c:v>40-59</c:v>
                </c:pt>
                <c:pt idx="3">
                  <c:v>60-79</c:v>
                </c:pt>
                <c:pt idx="4">
                  <c:v>80+</c:v>
                </c:pt>
              </c:strCache>
            </c:strRef>
          </c:cat>
          <c:val>
            <c:numRef>
              <c:f>Population!$N$25:$N$30</c:f>
              <c:numCache>
                <c:formatCode>General</c:formatCode>
                <c:ptCount val="5"/>
                <c:pt idx="0">
                  <c:v>892176</c:v>
                </c:pt>
                <c:pt idx="1">
                  <c:v>1050681</c:v>
                </c:pt>
                <c:pt idx="2">
                  <c:v>603868</c:v>
                </c:pt>
                <c:pt idx="3">
                  <c:v>204009</c:v>
                </c:pt>
                <c:pt idx="4">
                  <c:v>27183</c:v>
                </c:pt>
              </c:numCache>
            </c:numRef>
          </c:val>
          <c:smooth val="0"/>
          <c:extLst>
            <c:ext xmlns:c16="http://schemas.microsoft.com/office/drawing/2014/chart" uri="{C3380CC4-5D6E-409C-BE32-E72D297353CC}">
              <c16:uniqueId val="{00000001-E833-4B87-8272-D2533A6B38B9}"/>
            </c:ext>
          </c:extLst>
        </c:ser>
        <c:dLbls>
          <c:showLegendKey val="0"/>
          <c:showVal val="0"/>
          <c:showCatName val="0"/>
          <c:showSerName val="0"/>
          <c:showPercent val="0"/>
          <c:showBubbleSize val="0"/>
        </c:dLbls>
        <c:smooth val="0"/>
        <c:axId val="727243279"/>
        <c:axId val="727226959"/>
      </c:lineChart>
      <c:catAx>
        <c:axId val="72724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7226959"/>
        <c:crosses val="autoZero"/>
        <c:auto val="1"/>
        <c:lblAlgn val="ctr"/>
        <c:lblOffset val="100"/>
        <c:noMultiLvlLbl val="0"/>
      </c:catAx>
      <c:valAx>
        <c:axId val="727226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72432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Gender Composition within Each Age Group</a:t>
            </a:r>
            <a:endParaRPr lang="en-IN" b="1"/>
          </a:p>
        </c:rich>
      </c:tx>
      <c:layout>
        <c:manualLayout>
          <c:xMode val="edge"/>
          <c:yMode val="edge"/>
          <c:x val="0.17269444444444446"/>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percentStacked"/>
        <c:varyColors val="0"/>
        <c:ser>
          <c:idx val="0"/>
          <c:order val="0"/>
          <c:tx>
            <c:strRef>
              <c:f>Population!$H$3</c:f>
              <c:strCache>
                <c:ptCount val="1"/>
                <c:pt idx="0">
                  <c:v>Male %</c:v>
                </c:pt>
              </c:strCache>
            </c:strRef>
          </c:tx>
          <c:spPr>
            <a:solidFill>
              <a:srgbClr val="00D3F0"/>
            </a:solidFill>
            <a:ln>
              <a:noFill/>
            </a:ln>
            <a:effectLst/>
          </c:spPr>
          <c:invertIfNegative val="0"/>
          <c:cat>
            <c:strRef>
              <c:f>Population!$C$4:$C$13</c:f>
              <c:strCache>
                <c:ptCount val="10"/>
                <c:pt idx="0">
                  <c:v>0-19</c:v>
                </c:pt>
                <c:pt idx="1">
                  <c:v>20-39</c:v>
                </c:pt>
                <c:pt idx="2">
                  <c:v>40-59</c:v>
                </c:pt>
                <c:pt idx="3">
                  <c:v>60-79</c:v>
                </c:pt>
                <c:pt idx="4">
                  <c:v>80+</c:v>
                </c:pt>
                <c:pt idx="5">
                  <c:v>0-19</c:v>
                </c:pt>
                <c:pt idx="6">
                  <c:v>20-39</c:v>
                </c:pt>
                <c:pt idx="7">
                  <c:v>40-59</c:v>
                </c:pt>
                <c:pt idx="8">
                  <c:v>60-79</c:v>
                </c:pt>
                <c:pt idx="9">
                  <c:v>80+</c:v>
                </c:pt>
              </c:strCache>
            </c:strRef>
          </c:cat>
          <c:val>
            <c:numRef>
              <c:f>Population!$H$4:$H$13</c:f>
              <c:numCache>
                <c:formatCode>0%</c:formatCode>
                <c:ptCount val="10"/>
                <c:pt idx="0">
                  <c:v>0.52603031108747678</c:v>
                </c:pt>
                <c:pt idx="1">
                  <c:v>0.52913071304040782</c:v>
                </c:pt>
                <c:pt idx="2">
                  <c:v>0.52953210936046979</c:v>
                </c:pt>
                <c:pt idx="3">
                  <c:v>0.50771554790490159</c:v>
                </c:pt>
                <c:pt idx="4">
                  <c:v>0.48517407381567013</c:v>
                </c:pt>
                <c:pt idx="5">
                  <c:v>0.52903911335879916</c:v>
                </c:pt>
                <c:pt idx="6">
                  <c:v>0.51031854578126001</c:v>
                </c:pt>
                <c:pt idx="7">
                  <c:v>0.52157093934436005</c:v>
                </c:pt>
                <c:pt idx="8">
                  <c:v>0.52852080055291684</c:v>
                </c:pt>
                <c:pt idx="9">
                  <c:v>0.49383806055255125</c:v>
                </c:pt>
              </c:numCache>
            </c:numRef>
          </c:val>
          <c:extLst>
            <c:ext xmlns:c16="http://schemas.microsoft.com/office/drawing/2014/chart" uri="{C3380CC4-5D6E-409C-BE32-E72D297353CC}">
              <c16:uniqueId val="{00000000-9AAC-460A-8E39-B341C2B89BA0}"/>
            </c:ext>
          </c:extLst>
        </c:ser>
        <c:ser>
          <c:idx val="1"/>
          <c:order val="1"/>
          <c:tx>
            <c:strRef>
              <c:f>Population!$I$3</c:f>
              <c:strCache>
                <c:ptCount val="1"/>
                <c:pt idx="0">
                  <c:v>Female %</c:v>
                </c:pt>
              </c:strCache>
            </c:strRef>
          </c:tx>
          <c:spPr>
            <a:solidFill>
              <a:srgbClr val="EEA2DE"/>
            </a:solidFill>
            <a:ln>
              <a:noFill/>
            </a:ln>
            <a:effectLst/>
          </c:spPr>
          <c:invertIfNegative val="0"/>
          <c:cat>
            <c:strRef>
              <c:f>Population!$C$4:$C$13</c:f>
              <c:strCache>
                <c:ptCount val="10"/>
                <c:pt idx="0">
                  <c:v>0-19</c:v>
                </c:pt>
                <c:pt idx="1">
                  <c:v>20-39</c:v>
                </c:pt>
                <c:pt idx="2">
                  <c:v>40-59</c:v>
                </c:pt>
                <c:pt idx="3">
                  <c:v>60-79</c:v>
                </c:pt>
                <c:pt idx="4">
                  <c:v>80+</c:v>
                </c:pt>
                <c:pt idx="5">
                  <c:v>0-19</c:v>
                </c:pt>
                <c:pt idx="6">
                  <c:v>20-39</c:v>
                </c:pt>
                <c:pt idx="7">
                  <c:v>40-59</c:v>
                </c:pt>
                <c:pt idx="8">
                  <c:v>60-79</c:v>
                </c:pt>
                <c:pt idx="9">
                  <c:v>80+</c:v>
                </c:pt>
              </c:strCache>
            </c:strRef>
          </c:cat>
          <c:val>
            <c:numRef>
              <c:f>Population!$I$4:$I$13</c:f>
              <c:numCache>
                <c:formatCode>0%</c:formatCode>
                <c:ptCount val="10"/>
                <c:pt idx="0">
                  <c:v>0.47396968891252328</c:v>
                </c:pt>
                <c:pt idx="1">
                  <c:v>0.47086928695959218</c:v>
                </c:pt>
                <c:pt idx="2">
                  <c:v>0.47046789063953026</c:v>
                </c:pt>
                <c:pt idx="3">
                  <c:v>0.49228445209509841</c:v>
                </c:pt>
                <c:pt idx="4">
                  <c:v>0.51482592618432987</c:v>
                </c:pt>
                <c:pt idx="5">
                  <c:v>0.47096088664120084</c:v>
                </c:pt>
                <c:pt idx="6">
                  <c:v>0.48968145421874004</c:v>
                </c:pt>
                <c:pt idx="7">
                  <c:v>0.47842906065563995</c:v>
                </c:pt>
                <c:pt idx="8">
                  <c:v>0.47147919944708322</c:v>
                </c:pt>
                <c:pt idx="9">
                  <c:v>0.50616193944744881</c:v>
                </c:pt>
              </c:numCache>
            </c:numRef>
          </c:val>
          <c:extLst>
            <c:ext xmlns:c16="http://schemas.microsoft.com/office/drawing/2014/chart" uri="{C3380CC4-5D6E-409C-BE32-E72D297353CC}">
              <c16:uniqueId val="{00000001-9AAC-460A-8E39-B341C2B89BA0}"/>
            </c:ext>
          </c:extLst>
        </c:ser>
        <c:dLbls>
          <c:showLegendKey val="0"/>
          <c:showVal val="0"/>
          <c:showCatName val="0"/>
          <c:showSerName val="0"/>
          <c:showPercent val="0"/>
          <c:showBubbleSize val="0"/>
        </c:dLbls>
        <c:gapWidth val="150"/>
        <c:overlap val="100"/>
        <c:axId val="1603269407"/>
        <c:axId val="1603263647"/>
      </c:barChart>
      <c:catAx>
        <c:axId val="160326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03263647"/>
        <c:crosses val="autoZero"/>
        <c:auto val="1"/>
        <c:lblAlgn val="ctr"/>
        <c:lblOffset val="100"/>
        <c:noMultiLvlLbl val="0"/>
      </c:catAx>
      <c:valAx>
        <c:axId val="16032636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032694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Population</a:t>
            </a:r>
            <a:r>
              <a:rPr lang="en-IN" sz="1800" b="1" baseline="0"/>
              <a:t> by Age Group</a:t>
            </a:r>
          </a:p>
          <a:p>
            <a:pPr>
              <a:defRPr sz="1800" b="1"/>
            </a:pPr>
            <a:endParaRPr lang="en-IN"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Population!$B$4:$C$4</c:f>
              <c:strCache>
                <c:ptCount val="2"/>
                <c:pt idx="0">
                  <c:v>Rural</c:v>
                </c:pt>
                <c:pt idx="1">
                  <c:v>0-19</c:v>
                </c:pt>
              </c:strCache>
            </c:strRef>
          </c:tx>
          <c:spPr>
            <a:solidFill>
              <a:schemeClr val="accent1"/>
            </a:solidFill>
            <a:ln>
              <a:noFill/>
            </a:ln>
            <a:effectLst/>
          </c:spPr>
          <c:invertIfNegative val="0"/>
          <c:cat>
            <c:strRef>
              <c:f>Population!$F$3</c:f>
              <c:strCache>
                <c:ptCount val="1"/>
                <c:pt idx="0">
                  <c:v>Total Population</c:v>
                </c:pt>
              </c:strCache>
            </c:strRef>
          </c:cat>
          <c:val>
            <c:numRef>
              <c:f>Population!$F$4</c:f>
              <c:numCache>
                <c:formatCode>General</c:formatCode>
                <c:ptCount val="1"/>
                <c:pt idx="0">
                  <c:v>582955</c:v>
                </c:pt>
              </c:numCache>
            </c:numRef>
          </c:val>
          <c:extLst>
            <c:ext xmlns:c16="http://schemas.microsoft.com/office/drawing/2014/chart" uri="{C3380CC4-5D6E-409C-BE32-E72D297353CC}">
              <c16:uniqueId val="{00000000-43C3-4C81-913F-959C2C2B86C0}"/>
            </c:ext>
          </c:extLst>
        </c:ser>
        <c:ser>
          <c:idx val="1"/>
          <c:order val="1"/>
          <c:tx>
            <c:strRef>
              <c:f>Population!$B$5:$C$5</c:f>
              <c:strCache>
                <c:ptCount val="2"/>
                <c:pt idx="0">
                  <c:v>Rural</c:v>
                </c:pt>
                <c:pt idx="1">
                  <c:v>20-39</c:v>
                </c:pt>
              </c:strCache>
            </c:strRef>
          </c:tx>
          <c:spPr>
            <a:solidFill>
              <a:schemeClr val="accent2"/>
            </a:solidFill>
            <a:ln>
              <a:noFill/>
            </a:ln>
            <a:effectLst/>
          </c:spPr>
          <c:invertIfNegative val="0"/>
          <c:cat>
            <c:strRef>
              <c:f>Population!$F$3</c:f>
              <c:strCache>
                <c:ptCount val="1"/>
                <c:pt idx="0">
                  <c:v>Total Population</c:v>
                </c:pt>
              </c:strCache>
            </c:strRef>
          </c:cat>
          <c:val>
            <c:numRef>
              <c:f>Population!$F$5</c:f>
              <c:numCache>
                <c:formatCode>General</c:formatCode>
                <c:ptCount val="1"/>
                <c:pt idx="0">
                  <c:v>453130</c:v>
                </c:pt>
              </c:numCache>
            </c:numRef>
          </c:val>
          <c:extLst>
            <c:ext xmlns:c16="http://schemas.microsoft.com/office/drawing/2014/chart" uri="{C3380CC4-5D6E-409C-BE32-E72D297353CC}">
              <c16:uniqueId val="{00000001-43C3-4C81-913F-959C2C2B86C0}"/>
            </c:ext>
          </c:extLst>
        </c:ser>
        <c:ser>
          <c:idx val="2"/>
          <c:order val="2"/>
          <c:tx>
            <c:strRef>
              <c:f>Population!$B$6:$C$6</c:f>
              <c:strCache>
                <c:ptCount val="2"/>
                <c:pt idx="0">
                  <c:v>Rural</c:v>
                </c:pt>
                <c:pt idx="1">
                  <c:v>40-59</c:v>
                </c:pt>
              </c:strCache>
            </c:strRef>
          </c:tx>
          <c:spPr>
            <a:solidFill>
              <a:schemeClr val="accent3"/>
            </a:solidFill>
            <a:ln>
              <a:noFill/>
            </a:ln>
            <a:effectLst/>
          </c:spPr>
          <c:invertIfNegative val="0"/>
          <c:cat>
            <c:strRef>
              <c:f>Population!$F$3</c:f>
              <c:strCache>
                <c:ptCount val="1"/>
                <c:pt idx="0">
                  <c:v>Total Population</c:v>
                </c:pt>
              </c:strCache>
            </c:strRef>
          </c:cat>
          <c:val>
            <c:numRef>
              <c:f>Population!$F$6</c:f>
              <c:numCache>
                <c:formatCode>General</c:formatCode>
                <c:ptCount val="1"/>
                <c:pt idx="0">
                  <c:v>225822</c:v>
                </c:pt>
              </c:numCache>
            </c:numRef>
          </c:val>
          <c:extLst>
            <c:ext xmlns:c16="http://schemas.microsoft.com/office/drawing/2014/chart" uri="{C3380CC4-5D6E-409C-BE32-E72D297353CC}">
              <c16:uniqueId val="{00000002-43C3-4C81-913F-959C2C2B86C0}"/>
            </c:ext>
          </c:extLst>
        </c:ser>
        <c:ser>
          <c:idx val="3"/>
          <c:order val="3"/>
          <c:tx>
            <c:strRef>
              <c:f>Population!$B$7:$C$7</c:f>
              <c:strCache>
                <c:ptCount val="2"/>
                <c:pt idx="0">
                  <c:v>Rural</c:v>
                </c:pt>
                <c:pt idx="1">
                  <c:v>60-79</c:v>
                </c:pt>
              </c:strCache>
            </c:strRef>
          </c:tx>
          <c:spPr>
            <a:solidFill>
              <a:schemeClr val="accent4"/>
            </a:solidFill>
            <a:ln>
              <a:noFill/>
            </a:ln>
            <a:effectLst/>
          </c:spPr>
          <c:invertIfNegative val="0"/>
          <c:cat>
            <c:strRef>
              <c:f>Population!$F$3</c:f>
              <c:strCache>
                <c:ptCount val="1"/>
                <c:pt idx="0">
                  <c:v>Total Population</c:v>
                </c:pt>
              </c:strCache>
            </c:strRef>
          </c:cat>
          <c:val>
            <c:numRef>
              <c:f>Population!$F$7</c:f>
              <c:numCache>
                <c:formatCode>General</c:formatCode>
                <c:ptCount val="1"/>
                <c:pt idx="0">
                  <c:v>113861</c:v>
                </c:pt>
              </c:numCache>
            </c:numRef>
          </c:val>
          <c:extLst>
            <c:ext xmlns:c16="http://schemas.microsoft.com/office/drawing/2014/chart" uri="{C3380CC4-5D6E-409C-BE32-E72D297353CC}">
              <c16:uniqueId val="{00000003-43C3-4C81-913F-959C2C2B86C0}"/>
            </c:ext>
          </c:extLst>
        </c:ser>
        <c:ser>
          <c:idx val="4"/>
          <c:order val="4"/>
          <c:tx>
            <c:strRef>
              <c:f>Population!$B$8:$C$8</c:f>
              <c:strCache>
                <c:ptCount val="2"/>
                <c:pt idx="0">
                  <c:v>Rural</c:v>
                </c:pt>
                <c:pt idx="1">
                  <c:v>80+</c:v>
                </c:pt>
              </c:strCache>
            </c:strRef>
          </c:tx>
          <c:spPr>
            <a:solidFill>
              <a:schemeClr val="accent5"/>
            </a:solidFill>
            <a:ln>
              <a:noFill/>
            </a:ln>
            <a:effectLst/>
          </c:spPr>
          <c:invertIfNegative val="0"/>
          <c:cat>
            <c:strRef>
              <c:f>Population!$F$3</c:f>
              <c:strCache>
                <c:ptCount val="1"/>
                <c:pt idx="0">
                  <c:v>Total Population</c:v>
                </c:pt>
              </c:strCache>
            </c:strRef>
          </c:cat>
          <c:val>
            <c:numRef>
              <c:f>Population!$F$8</c:f>
              <c:numCache>
                <c:formatCode>General</c:formatCode>
                <c:ptCount val="1"/>
                <c:pt idx="0">
                  <c:v>14333</c:v>
                </c:pt>
              </c:numCache>
            </c:numRef>
          </c:val>
          <c:extLst>
            <c:ext xmlns:c16="http://schemas.microsoft.com/office/drawing/2014/chart" uri="{C3380CC4-5D6E-409C-BE32-E72D297353CC}">
              <c16:uniqueId val="{00000004-43C3-4C81-913F-959C2C2B86C0}"/>
            </c:ext>
          </c:extLst>
        </c:ser>
        <c:ser>
          <c:idx val="5"/>
          <c:order val="5"/>
          <c:tx>
            <c:strRef>
              <c:f>Population!$B$9:$C$9</c:f>
              <c:strCache>
                <c:ptCount val="2"/>
                <c:pt idx="0">
                  <c:v>Urban</c:v>
                </c:pt>
                <c:pt idx="1">
                  <c:v>0-19</c:v>
                </c:pt>
              </c:strCache>
            </c:strRef>
          </c:tx>
          <c:spPr>
            <a:solidFill>
              <a:schemeClr val="accent6"/>
            </a:solidFill>
            <a:ln>
              <a:noFill/>
            </a:ln>
            <a:effectLst/>
          </c:spPr>
          <c:invertIfNegative val="0"/>
          <c:cat>
            <c:strRef>
              <c:f>Population!$F$3</c:f>
              <c:strCache>
                <c:ptCount val="1"/>
                <c:pt idx="0">
                  <c:v>Total Population</c:v>
                </c:pt>
              </c:strCache>
            </c:strRef>
          </c:cat>
          <c:val>
            <c:numRef>
              <c:f>Population!$F$9</c:f>
              <c:numCache>
                <c:formatCode>General</c:formatCode>
                <c:ptCount val="1"/>
                <c:pt idx="0">
                  <c:v>892176</c:v>
                </c:pt>
              </c:numCache>
            </c:numRef>
          </c:val>
          <c:extLst>
            <c:ext xmlns:c16="http://schemas.microsoft.com/office/drawing/2014/chart" uri="{C3380CC4-5D6E-409C-BE32-E72D297353CC}">
              <c16:uniqueId val="{00000005-43C3-4C81-913F-959C2C2B86C0}"/>
            </c:ext>
          </c:extLst>
        </c:ser>
        <c:ser>
          <c:idx val="6"/>
          <c:order val="6"/>
          <c:tx>
            <c:strRef>
              <c:f>Population!$B$10:$C$10</c:f>
              <c:strCache>
                <c:ptCount val="2"/>
                <c:pt idx="0">
                  <c:v>Urban</c:v>
                </c:pt>
                <c:pt idx="1">
                  <c:v>20-39</c:v>
                </c:pt>
              </c:strCache>
            </c:strRef>
          </c:tx>
          <c:spPr>
            <a:solidFill>
              <a:schemeClr val="accent1">
                <a:lumMod val="60000"/>
              </a:schemeClr>
            </a:solidFill>
            <a:ln>
              <a:noFill/>
            </a:ln>
            <a:effectLst/>
          </c:spPr>
          <c:invertIfNegative val="0"/>
          <c:cat>
            <c:strRef>
              <c:f>Population!$F$3</c:f>
              <c:strCache>
                <c:ptCount val="1"/>
                <c:pt idx="0">
                  <c:v>Total Population</c:v>
                </c:pt>
              </c:strCache>
            </c:strRef>
          </c:cat>
          <c:val>
            <c:numRef>
              <c:f>Population!$F$10</c:f>
              <c:numCache>
                <c:formatCode>General</c:formatCode>
                <c:ptCount val="1"/>
                <c:pt idx="0">
                  <c:v>1050681</c:v>
                </c:pt>
              </c:numCache>
            </c:numRef>
          </c:val>
          <c:extLst>
            <c:ext xmlns:c16="http://schemas.microsoft.com/office/drawing/2014/chart" uri="{C3380CC4-5D6E-409C-BE32-E72D297353CC}">
              <c16:uniqueId val="{00000006-43C3-4C81-913F-959C2C2B86C0}"/>
            </c:ext>
          </c:extLst>
        </c:ser>
        <c:ser>
          <c:idx val="7"/>
          <c:order val="7"/>
          <c:tx>
            <c:strRef>
              <c:f>Population!$B$11:$C$11</c:f>
              <c:strCache>
                <c:ptCount val="2"/>
                <c:pt idx="0">
                  <c:v>Urban</c:v>
                </c:pt>
                <c:pt idx="1">
                  <c:v>40-59</c:v>
                </c:pt>
              </c:strCache>
            </c:strRef>
          </c:tx>
          <c:spPr>
            <a:solidFill>
              <a:schemeClr val="accent2">
                <a:lumMod val="60000"/>
              </a:schemeClr>
            </a:solidFill>
            <a:ln>
              <a:noFill/>
            </a:ln>
            <a:effectLst/>
          </c:spPr>
          <c:invertIfNegative val="0"/>
          <c:cat>
            <c:strRef>
              <c:f>Population!$F$3</c:f>
              <c:strCache>
                <c:ptCount val="1"/>
                <c:pt idx="0">
                  <c:v>Total Population</c:v>
                </c:pt>
              </c:strCache>
            </c:strRef>
          </c:cat>
          <c:val>
            <c:numRef>
              <c:f>Population!$F$11</c:f>
              <c:numCache>
                <c:formatCode>General</c:formatCode>
                <c:ptCount val="1"/>
                <c:pt idx="0">
                  <c:v>603868</c:v>
                </c:pt>
              </c:numCache>
            </c:numRef>
          </c:val>
          <c:extLst>
            <c:ext xmlns:c16="http://schemas.microsoft.com/office/drawing/2014/chart" uri="{C3380CC4-5D6E-409C-BE32-E72D297353CC}">
              <c16:uniqueId val="{00000007-43C3-4C81-913F-959C2C2B86C0}"/>
            </c:ext>
          </c:extLst>
        </c:ser>
        <c:ser>
          <c:idx val="8"/>
          <c:order val="8"/>
          <c:tx>
            <c:strRef>
              <c:f>Population!$B$12:$C$12</c:f>
              <c:strCache>
                <c:ptCount val="2"/>
                <c:pt idx="0">
                  <c:v>Urban</c:v>
                </c:pt>
                <c:pt idx="1">
                  <c:v>60-79</c:v>
                </c:pt>
              </c:strCache>
            </c:strRef>
          </c:tx>
          <c:spPr>
            <a:solidFill>
              <a:schemeClr val="accent3">
                <a:lumMod val="60000"/>
              </a:schemeClr>
            </a:solidFill>
            <a:ln>
              <a:noFill/>
            </a:ln>
            <a:effectLst/>
          </c:spPr>
          <c:invertIfNegative val="0"/>
          <c:cat>
            <c:strRef>
              <c:f>Population!$F$3</c:f>
              <c:strCache>
                <c:ptCount val="1"/>
                <c:pt idx="0">
                  <c:v>Total Population</c:v>
                </c:pt>
              </c:strCache>
            </c:strRef>
          </c:cat>
          <c:val>
            <c:numRef>
              <c:f>Population!$F$12</c:f>
              <c:numCache>
                <c:formatCode>General</c:formatCode>
                <c:ptCount val="1"/>
                <c:pt idx="0">
                  <c:v>204009</c:v>
                </c:pt>
              </c:numCache>
            </c:numRef>
          </c:val>
          <c:extLst>
            <c:ext xmlns:c16="http://schemas.microsoft.com/office/drawing/2014/chart" uri="{C3380CC4-5D6E-409C-BE32-E72D297353CC}">
              <c16:uniqueId val="{00000008-43C3-4C81-913F-959C2C2B86C0}"/>
            </c:ext>
          </c:extLst>
        </c:ser>
        <c:ser>
          <c:idx val="9"/>
          <c:order val="9"/>
          <c:tx>
            <c:strRef>
              <c:f>Population!$B$13:$C$13</c:f>
              <c:strCache>
                <c:ptCount val="2"/>
                <c:pt idx="0">
                  <c:v>Urban</c:v>
                </c:pt>
                <c:pt idx="1">
                  <c:v>80+</c:v>
                </c:pt>
              </c:strCache>
            </c:strRef>
          </c:tx>
          <c:spPr>
            <a:solidFill>
              <a:schemeClr val="accent4">
                <a:lumMod val="60000"/>
              </a:schemeClr>
            </a:solidFill>
            <a:ln>
              <a:noFill/>
            </a:ln>
            <a:effectLst/>
          </c:spPr>
          <c:invertIfNegative val="0"/>
          <c:cat>
            <c:strRef>
              <c:f>Population!$F$3</c:f>
              <c:strCache>
                <c:ptCount val="1"/>
                <c:pt idx="0">
                  <c:v>Total Population</c:v>
                </c:pt>
              </c:strCache>
            </c:strRef>
          </c:cat>
          <c:val>
            <c:numRef>
              <c:f>Population!$F$13</c:f>
              <c:numCache>
                <c:formatCode>General</c:formatCode>
                <c:ptCount val="1"/>
                <c:pt idx="0">
                  <c:v>27183</c:v>
                </c:pt>
              </c:numCache>
            </c:numRef>
          </c:val>
          <c:extLst>
            <c:ext xmlns:c16="http://schemas.microsoft.com/office/drawing/2014/chart" uri="{C3380CC4-5D6E-409C-BE32-E72D297353CC}">
              <c16:uniqueId val="{00000009-43C3-4C81-913F-959C2C2B86C0}"/>
            </c:ext>
          </c:extLst>
        </c:ser>
        <c:dLbls>
          <c:showLegendKey val="0"/>
          <c:showVal val="0"/>
          <c:showCatName val="0"/>
          <c:showSerName val="0"/>
          <c:showPercent val="0"/>
          <c:showBubbleSize val="0"/>
        </c:dLbls>
        <c:gapWidth val="219"/>
        <c:overlap val="-27"/>
        <c:axId val="397335584"/>
        <c:axId val="397336064"/>
      </c:barChart>
      <c:catAx>
        <c:axId val="39733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7336064"/>
        <c:crosses val="autoZero"/>
        <c:auto val="1"/>
        <c:lblAlgn val="ctr"/>
        <c:lblOffset val="100"/>
        <c:noMultiLvlLbl val="0"/>
      </c:catAx>
      <c:valAx>
        <c:axId val="39733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7335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[final.xlsx]Education!PivotTable1</c:name>
    <c:fmtId val="0"/>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IN" sz="1100" b="1" i="0" u="none" strike="noStrike" baseline="0"/>
              <a:t>Male vs Female Population by Age Group</a:t>
            </a:r>
            <a:endParaRPr lang="en-IN"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EA2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Education!$B$25</c:f>
              <c:strCache>
                <c:ptCount val="1"/>
                <c:pt idx="0">
                  <c:v>Sum of Male Population </c:v>
                </c:pt>
              </c:strCache>
            </c:strRef>
          </c:tx>
          <c:spPr>
            <a:solidFill>
              <a:schemeClr val="accent5">
                <a:lumMod val="60000"/>
                <a:lumOff val="40000"/>
              </a:schemeClr>
            </a:solidFill>
            <a:ln>
              <a:noFill/>
            </a:ln>
            <a:effectLst/>
          </c:spPr>
          <c:invertIfNegative val="0"/>
          <c:cat>
            <c:strRef>
              <c:f>Education!$A$26:$A$33</c:f>
              <c:strCache>
                <c:ptCount val="7"/>
                <c:pt idx="0">
                  <c:v>15-19</c:v>
                </c:pt>
                <c:pt idx="1">
                  <c:v>20-24</c:v>
                </c:pt>
                <c:pt idx="2">
                  <c:v>25-29</c:v>
                </c:pt>
                <c:pt idx="3">
                  <c:v>30-34</c:v>
                </c:pt>
                <c:pt idx="4">
                  <c:v>35-59</c:v>
                </c:pt>
                <c:pt idx="5">
                  <c:v>60+</c:v>
                </c:pt>
                <c:pt idx="6">
                  <c:v>Less than 15</c:v>
                </c:pt>
              </c:strCache>
            </c:strRef>
          </c:cat>
          <c:val>
            <c:numRef>
              <c:f>Education!$B$26:$B$33</c:f>
              <c:numCache>
                <c:formatCode>General</c:formatCode>
                <c:ptCount val="7"/>
                <c:pt idx="0">
                  <c:v>517301</c:v>
                </c:pt>
                <c:pt idx="1">
                  <c:v>457020</c:v>
                </c:pt>
                <c:pt idx="2">
                  <c:v>388923</c:v>
                </c:pt>
                <c:pt idx="3">
                  <c:v>331460</c:v>
                </c:pt>
                <c:pt idx="4">
                  <c:v>1156098</c:v>
                </c:pt>
                <c:pt idx="5">
                  <c:v>359386</c:v>
                </c:pt>
                <c:pt idx="6">
                  <c:v>1315045</c:v>
                </c:pt>
              </c:numCache>
            </c:numRef>
          </c:val>
          <c:extLst>
            <c:ext xmlns:c16="http://schemas.microsoft.com/office/drawing/2014/chart" uri="{C3380CC4-5D6E-409C-BE32-E72D297353CC}">
              <c16:uniqueId val="{00000000-8C71-4C28-A335-A447FA732F52}"/>
            </c:ext>
          </c:extLst>
        </c:ser>
        <c:ser>
          <c:idx val="1"/>
          <c:order val="1"/>
          <c:tx>
            <c:strRef>
              <c:f>Education!$C$25</c:f>
              <c:strCache>
                <c:ptCount val="1"/>
                <c:pt idx="0">
                  <c:v>Sum of Female Population</c:v>
                </c:pt>
              </c:strCache>
            </c:strRef>
          </c:tx>
          <c:spPr>
            <a:solidFill>
              <a:srgbClr val="EEA2DE"/>
            </a:solidFill>
            <a:ln>
              <a:noFill/>
            </a:ln>
            <a:effectLst/>
          </c:spPr>
          <c:invertIfNegative val="0"/>
          <c:cat>
            <c:strRef>
              <c:f>Education!$A$26:$A$33</c:f>
              <c:strCache>
                <c:ptCount val="7"/>
                <c:pt idx="0">
                  <c:v>15-19</c:v>
                </c:pt>
                <c:pt idx="1">
                  <c:v>20-24</c:v>
                </c:pt>
                <c:pt idx="2">
                  <c:v>25-29</c:v>
                </c:pt>
                <c:pt idx="3">
                  <c:v>30-34</c:v>
                </c:pt>
                <c:pt idx="4">
                  <c:v>35-59</c:v>
                </c:pt>
                <c:pt idx="5">
                  <c:v>60+</c:v>
                </c:pt>
                <c:pt idx="6">
                  <c:v>Less than 15</c:v>
                </c:pt>
              </c:strCache>
            </c:strRef>
          </c:cat>
          <c:val>
            <c:numRef>
              <c:f>Education!$C$26:$C$33</c:f>
              <c:numCache>
                <c:formatCode>General</c:formatCode>
                <c:ptCount val="7"/>
                <c:pt idx="0">
                  <c:v>276360</c:v>
                </c:pt>
                <c:pt idx="1">
                  <c:v>244128</c:v>
                </c:pt>
                <c:pt idx="2">
                  <c:v>197727</c:v>
                </c:pt>
                <c:pt idx="3">
                  <c:v>167275</c:v>
                </c:pt>
                <c:pt idx="4">
                  <c:v>601357</c:v>
                </c:pt>
                <c:pt idx="5">
                  <c:v>186010</c:v>
                </c:pt>
                <c:pt idx="6">
                  <c:v>688105</c:v>
                </c:pt>
              </c:numCache>
            </c:numRef>
          </c:val>
          <c:extLst>
            <c:ext xmlns:c16="http://schemas.microsoft.com/office/drawing/2014/chart" uri="{C3380CC4-5D6E-409C-BE32-E72D297353CC}">
              <c16:uniqueId val="{00000001-8C71-4C28-A335-A447FA732F52}"/>
            </c:ext>
          </c:extLst>
        </c:ser>
        <c:dLbls>
          <c:showLegendKey val="0"/>
          <c:showVal val="0"/>
          <c:showCatName val="0"/>
          <c:showSerName val="0"/>
          <c:showPercent val="0"/>
          <c:showBubbleSize val="0"/>
        </c:dLbls>
        <c:gapWidth val="219"/>
        <c:overlap val="-27"/>
        <c:axId val="1463597552"/>
        <c:axId val="1463591792"/>
      </c:barChart>
      <c:catAx>
        <c:axId val="146359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63591792"/>
        <c:crosses val="autoZero"/>
        <c:auto val="1"/>
        <c:lblAlgn val="ctr"/>
        <c:lblOffset val="100"/>
        <c:noMultiLvlLbl val="0"/>
      </c:catAx>
      <c:valAx>
        <c:axId val="146359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635975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[final.xlsx]Education!PivotTable19</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Urban vs Rural Education Share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5C93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dLbl>
          <c:idx val="0"/>
          <c:layout>
            <c:manualLayout>
              <c:x val="-0.10186759394518272"/>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D5C933"/>
          </a:solidFill>
          <a:ln w="19050">
            <a:solidFill>
              <a:schemeClr val="lt1"/>
            </a:solidFill>
          </a:ln>
          <a:effectLst/>
        </c:spPr>
        <c:dLbl>
          <c:idx val="0"/>
          <c:layout>
            <c:manualLayout>
              <c:x val="0.11816640897641195"/>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Education!$G$25</c:f>
              <c:strCache>
                <c:ptCount val="1"/>
                <c:pt idx="0">
                  <c:v>Total</c:v>
                </c:pt>
              </c:strCache>
            </c:strRef>
          </c:tx>
          <c:spPr>
            <a:solidFill>
              <a:srgbClr val="D5C933"/>
            </a:solidFill>
          </c:spPr>
          <c:dPt>
            <c:idx val="0"/>
            <c:bubble3D val="0"/>
            <c:spPr>
              <a:solidFill>
                <a:srgbClr val="D5C933"/>
              </a:solidFill>
              <a:ln w="19050">
                <a:solidFill>
                  <a:schemeClr val="lt1"/>
                </a:solidFill>
              </a:ln>
              <a:effectLst/>
            </c:spPr>
            <c:extLst>
              <c:ext xmlns:c16="http://schemas.microsoft.com/office/drawing/2014/chart" uri="{C3380CC4-5D6E-409C-BE32-E72D297353CC}">
                <c16:uniqueId val="{00000003-06F4-4923-A269-8A2694BEF1D5}"/>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2-06F4-4923-A269-8A2694BEF1D5}"/>
              </c:ext>
            </c:extLst>
          </c:dPt>
          <c:dLbls>
            <c:dLbl>
              <c:idx val="0"/>
              <c:layout>
                <c:manualLayout>
                  <c:x val="0.11816640897641195"/>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6F4-4923-A269-8A2694BEF1D5}"/>
                </c:ext>
              </c:extLst>
            </c:dLbl>
            <c:dLbl>
              <c:idx val="1"/>
              <c:layout>
                <c:manualLayout>
                  <c:x val="-0.10186759394518272"/>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6F4-4923-A269-8A2694BEF1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Education!$F$26:$F$27</c:f>
              <c:strCache>
                <c:ptCount val="2"/>
                <c:pt idx="0">
                  <c:v>Rural</c:v>
                </c:pt>
                <c:pt idx="1">
                  <c:v>Urban</c:v>
                </c:pt>
              </c:strCache>
            </c:strRef>
          </c:cat>
          <c:val>
            <c:numRef>
              <c:f>Education!$G$26:$G$27</c:f>
              <c:numCache>
                <c:formatCode>General</c:formatCode>
                <c:ptCount val="2"/>
                <c:pt idx="0">
                  <c:v>690455</c:v>
                </c:pt>
                <c:pt idx="1">
                  <c:v>1418784</c:v>
                </c:pt>
              </c:numCache>
            </c:numRef>
          </c:val>
          <c:extLst>
            <c:ext xmlns:c16="http://schemas.microsoft.com/office/drawing/2014/chart" uri="{C3380CC4-5D6E-409C-BE32-E72D297353CC}">
              <c16:uniqueId val="{00000000-06F4-4923-A269-8A2694BEF1D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[final.xlsx]Education!PivotTable20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Trend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52BAD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C7091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Education!$J$25</c:f>
              <c:strCache>
                <c:ptCount val="1"/>
                <c:pt idx="0">
                  <c:v>Sum of Education Attendance Rate (Female)</c:v>
                </c:pt>
              </c:strCache>
            </c:strRef>
          </c:tx>
          <c:spPr>
            <a:ln w="28575" cap="rnd">
              <a:solidFill>
                <a:srgbClr val="52BAD2"/>
              </a:solidFill>
              <a:round/>
            </a:ln>
            <a:effectLst/>
          </c:spPr>
          <c:marker>
            <c:symbol val="none"/>
          </c:marker>
          <c:cat>
            <c:strRef>
              <c:f>Education!$I$26:$I$32</c:f>
              <c:strCache>
                <c:ptCount val="7"/>
                <c:pt idx="0">
                  <c:v>15-19</c:v>
                </c:pt>
                <c:pt idx="1">
                  <c:v>20-24</c:v>
                </c:pt>
                <c:pt idx="2">
                  <c:v>25-29</c:v>
                </c:pt>
                <c:pt idx="3">
                  <c:v>30-34</c:v>
                </c:pt>
                <c:pt idx="4">
                  <c:v>35-59</c:v>
                </c:pt>
                <c:pt idx="5">
                  <c:v>60+</c:v>
                </c:pt>
                <c:pt idx="6">
                  <c:v>Less than 15</c:v>
                </c:pt>
              </c:strCache>
            </c:strRef>
          </c:cat>
          <c:val>
            <c:numRef>
              <c:f>Education!$J$26:$J$32</c:f>
              <c:numCache>
                <c:formatCode>0%</c:formatCode>
                <c:ptCount val="7"/>
                <c:pt idx="0">
                  <c:v>1.2340297525340815</c:v>
                </c:pt>
                <c:pt idx="1">
                  <c:v>0.71278514384961977</c:v>
                </c:pt>
                <c:pt idx="2">
                  <c:v>0.18979775593102546</c:v>
                </c:pt>
                <c:pt idx="3">
                  <c:v>9.6018709995076307E-2</c:v>
                </c:pt>
                <c:pt idx="4">
                  <c:v>6.778722722581125E-2</c:v>
                </c:pt>
                <c:pt idx="5">
                  <c:v>7.3420166597065559E-2</c:v>
                </c:pt>
                <c:pt idx="6">
                  <c:v>1.1428603973460394</c:v>
                </c:pt>
              </c:numCache>
            </c:numRef>
          </c:val>
          <c:smooth val="0"/>
          <c:extLst>
            <c:ext xmlns:c16="http://schemas.microsoft.com/office/drawing/2014/chart" uri="{C3380CC4-5D6E-409C-BE32-E72D297353CC}">
              <c16:uniqueId val="{00000000-2AFF-437C-954A-1468A99347A2}"/>
            </c:ext>
          </c:extLst>
        </c:ser>
        <c:ser>
          <c:idx val="1"/>
          <c:order val="1"/>
          <c:tx>
            <c:strRef>
              <c:f>Education!$K$25</c:f>
              <c:strCache>
                <c:ptCount val="1"/>
                <c:pt idx="0">
                  <c:v>Sum of Education Attendance Rate (Male)</c:v>
                </c:pt>
              </c:strCache>
            </c:strRef>
          </c:tx>
          <c:spPr>
            <a:ln w="28575" cap="rnd">
              <a:solidFill>
                <a:srgbClr val="C7091B"/>
              </a:solidFill>
              <a:round/>
            </a:ln>
            <a:effectLst/>
          </c:spPr>
          <c:marker>
            <c:symbol val="none"/>
          </c:marker>
          <c:cat>
            <c:strRef>
              <c:f>Education!$I$26:$I$32</c:f>
              <c:strCache>
                <c:ptCount val="7"/>
                <c:pt idx="0">
                  <c:v>15-19</c:v>
                </c:pt>
                <c:pt idx="1">
                  <c:v>20-24</c:v>
                </c:pt>
                <c:pt idx="2">
                  <c:v>25-29</c:v>
                </c:pt>
                <c:pt idx="3">
                  <c:v>30-34</c:v>
                </c:pt>
                <c:pt idx="4">
                  <c:v>35-59</c:v>
                </c:pt>
                <c:pt idx="5">
                  <c:v>60+</c:v>
                </c:pt>
                <c:pt idx="6">
                  <c:v>Less than 15</c:v>
                </c:pt>
              </c:strCache>
            </c:strRef>
          </c:cat>
          <c:val>
            <c:numRef>
              <c:f>Education!$K$26:$K$32</c:f>
              <c:numCache>
                <c:formatCode>0%</c:formatCode>
                <c:ptCount val="7"/>
                <c:pt idx="0">
                  <c:v>1.2506370181179078</c:v>
                </c:pt>
                <c:pt idx="1">
                  <c:v>0.67770999688995337</c:v>
                </c:pt>
                <c:pt idx="2">
                  <c:v>0.17250785856710626</c:v>
                </c:pt>
                <c:pt idx="3">
                  <c:v>8.8704247058612212E-2</c:v>
                </c:pt>
                <c:pt idx="4">
                  <c:v>6.2256115863002275E-2</c:v>
                </c:pt>
                <c:pt idx="5">
                  <c:v>6.4805274153127118E-2</c:v>
                </c:pt>
                <c:pt idx="6">
                  <c:v>1.1406009419875929</c:v>
                </c:pt>
              </c:numCache>
            </c:numRef>
          </c:val>
          <c:smooth val="0"/>
          <c:extLst>
            <c:ext xmlns:c16="http://schemas.microsoft.com/office/drawing/2014/chart" uri="{C3380CC4-5D6E-409C-BE32-E72D297353CC}">
              <c16:uniqueId val="{00000001-2AFF-437C-954A-1468A99347A2}"/>
            </c:ext>
          </c:extLst>
        </c:ser>
        <c:dLbls>
          <c:showLegendKey val="0"/>
          <c:showVal val="0"/>
          <c:showCatName val="0"/>
          <c:showSerName val="0"/>
          <c:showPercent val="0"/>
          <c:showBubbleSize val="0"/>
        </c:dLbls>
        <c:smooth val="0"/>
        <c:axId val="2133088080"/>
        <c:axId val="2133077040"/>
      </c:lineChart>
      <c:catAx>
        <c:axId val="213308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3077040"/>
        <c:crosses val="autoZero"/>
        <c:auto val="1"/>
        <c:lblAlgn val="ctr"/>
        <c:lblOffset val="100"/>
        <c:noMultiLvlLbl val="0"/>
      </c:catAx>
      <c:valAx>
        <c:axId val="21330770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3088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Relationship Between Gender Ratio and Education Rate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Education!$L$3</c:f>
              <c:strCache>
                <c:ptCount val="1"/>
                <c:pt idx="0">
                  <c:v>Overall Education Attendance Rate</c:v>
                </c:pt>
              </c:strCache>
            </c:strRef>
          </c:tx>
          <c:spPr>
            <a:ln w="19050" cap="rnd">
              <a:noFill/>
              <a:round/>
            </a:ln>
            <a:effectLst/>
          </c:spPr>
          <c:marker>
            <c:symbol val="circle"/>
            <c:size val="5"/>
            <c:spPr>
              <a:solidFill>
                <a:schemeClr val="accent1"/>
              </a:solidFill>
              <a:ln w="9525">
                <a:solidFill>
                  <a:schemeClr val="accent1"/>
                </a:solidFill>
              </a:ln>
              <a:effectLst/>
            </c:spPr>
          </c:marker>
          <c:xVal>
            <c:strRef>
              <c:f>Education!$A$4:$A$17</c:f>
              <c:strCache>
                <c:ptCount val="14"/>
                <c:pt idx="0">
                  <c:v>Lucknow</c:v>
                </c:pt>
                <c:pt idx="1">
                  <c:v>Lucknow</c:v>
                </c:pt>
                <c:pt idx="2">
                  <c:v>Lucknow</c:v>
                </c:pt>
                <c:pt idx="3">
                  <c:v>Lucknow</c:v>
                </c:pt>
                <c:pt idx="4">
                  <c:v>Lucknow</c:v>
                </c:pt>
                <c:pt idx="5">
                  <c:v>Lucknow</c:v>
                </c:pt>
                <c:pt idx="6">
                  <c:v>Lucknow</c:v>
                </c:pt>
                <c:pt idx="7">
                  <c:v>Lucknow</c:v>
                </c:pt>
                <c:pt idx="8">
                  <c:v>Lucknow</c:v>
                </c:pt>
                <c:pt idx="9">
                  <c:v>Lucknow</c:v>
                </c:pt>
                <c:pt idx="10">
                  <c:v>Lucknow</c:v>
                </c:pt>
                <c:pt idx="11">
                  <c:v>Lucknow</c:v>
                </c:pt>
                <c:pt idx="12">
                  <c:v>Lucknow</c:v>
                </c:pt>
                <c:pt idx="13">
                  <c:v>Lucknow</c:v>
                </c:pt>
              </c:strCache>
            </c:strRef>
          </c:xVal>
          <c:yVal>
            <c:numRef>
              <c:f>Education!$L$4:$L$17</c:f>
              <c:numCache>
                <c:formatCode>0%</c:formatCode>
                <c:ptCount val="14"/>
                <c:pt idx="0">
                  <c:v>0.55867994032940604</c:v>
                </c:pt>
                <c:pt idx="1">
                  <c:v>0.54973122466710278</c:v>
                </c:pt>
                <c:pt idx="2">
                  <c:v>0.24133389796592661</c:v>
                </c:pt>
                <c:pt idx="3">
                  <c:v>4.0351344465803553E-2</c:v>
                </c:pt>
                <c:pt idx="4">
                  <c:v>2.0339631603947854E-2</c:v>
                </c:pt>
                <c:pt idx="5">
                  <c:v>1.5384954440179194E-2</c:v>
                </c:pt>
                <c:pt idx="6">
                  <c:v>1.6951963390807279E-2</c:v>
                </c:pt>
                <c:pt idx="7">
                  <c:v>0.58269168129613569</c:v>
                </c:pt>
                <c:pt idx="8">
                  <c:v>0.69512716985169132</c:v>
                </c:pt>
                <c:pt idx="9">
                  <c:v>0.44875056297158511</c:v>
                </c:pt>
                <c:pt idx="10">
                  <c:v>0.13800484125795401</c:v>
                </c:pt>
                <c:pt idx="11">
                  <c:v>7.0817694485811974E-2</c:v>
                </c:pt>
                <c:pt idx="12">
                  <c:v>4.8760620218368619E-2</c:v>
                </c:pt>
                <c:pt idx="13">
                  <c:v>5.0814467184392191E-2</c:v>
                </c:pt>
              </c:numCache>
            </c:numRef>
          </c:yVal>
          <c:smooth val="0"/>
          <c:extLst>
            <c:ext xmlns:c16="http://schemas.microsoft.com/office/drawing/2014/chart" uri="{C3380CC4-5D6E-409C-BE32-E72D297353CC}">
              <c16:uniqueId val="{00000000-3B80-452D-A0AC-25093096B2BF}"/>
            </c:ext>
          </c:extLst>
        </c:ser>
        <c:ser>
          <c:idx val="1"/>
          <c:order val="1"/>
          <c:tx>
            <c:strRef>
              <c:f>Education!$N$3</c:f>
              <c:strCache>
                <c:ptCount val="1"/>
                <c:pt idx="0">
                  <c:v>Male–Female Population Ratio</c:v>
                </c:pt>
              </c:strCache>
            </c:strRef>
          </c:tx>
          <c:spPr>
            <a:ln w="19050" cap="rnd">
              <a:noFill/>
              <a:round/>
            </a:ln>
            <a:effectLst/>
          </c:spPr>
          <c:marker>
            <c:symbol val="circle"/>
            <c:size val="5"/>
            <c:spPr>
              <a:solidFill>
                <a:schemeClr val="accent2"/>
              </a:solidFill>
              <a:ln w="9525">
                <a:solidFill>
                  <a:schemeClr val="accent2"/>
                </a:solidFill>
              </a:ln>
              <a:effectLst/>
            </c:spPr>
          </c:marker>
          <c:xVal>
            <c:strRef>
              <c:f>Education!$A$4:$A$17</c:f>
              <c:strCache>
                <c:ptCount val="14"/>
                <c:pt idx="0">
                  <c:v>Lucknow</c:v>
                </c:pt>
                <c:pt idx="1">
                  <c:v>Lucknow</c:v>
                </c:pt>
                <c:pt idx="2">
                  <c:v>Lucknow</c:v>
                </c:pt>
                <c:pt idx="3">
                  <c:v>Lucknow</c:v>
                </c:pt>
                <c:pt idx="4">
                  <c:v>Lucknow</c:v>
                </c:pt>
                <c:pt idx="5">
                  <c:v>Lucknow</c:v>
                </c:pt>
                <c:pt idx="6">
                  <c:v>Lucknow</c:v>
                </c:pt>
                <c:pt idx="7">
                  <c:v>Lucknow</c:v>
                </c:pt>
                <c:pt idx="8">
                  <c:v>Lucknow</c:v>
                </c:pt>
                <c:pt idx="9">
                  <c:v>Lucknow</c:v>
                </c:pt>
                <c:pt idx="10">
                  <c:v>Lucknow</c:v>
                </c:pt>
                <c:pt idx="11">
                  <c:v>Lucknow</c:v>
                </c:pt>
                <c:pt idx="12">
                  <c:v>Lucknow</c:v>
                </c:pt>
                <c:pt idx="13">
                  <c:v>Lucknow</c:v>
                </c:pt>
              </c:strCache>
            </c:strRef>
          </c:xVal>
          <c:yVal>
            <c:numRef>
              <c:f>Education!$N$4:$N$17</c:f>
              <c:numCache>
                <c:formatCode>General</c:formatCode>
                <c:ptCount val="14"/>
                <c:pt idx="0">
                  <c:v>1.9230695300236003</c:v>
                </c:pt>
                <c:pt idx="1">
                  <c:v>1.866243365246292</c:v>
                </c:pt>
                <c:pt idx="2">
                  <c:v>1.8060354395999008</c:v>
                </c:pt>
                <c:pt idx="3">
                  <c:v>1.9065634466509593</c:v>
                </c:pt>
                <c:pt idx="4">
                  <c:v>1.9852486459871985</c:v>
                </c:pt>
                <c:pt idx="5">
                  <c:v>1.8923155375530947</c:v>
                </c:pt>
                <c:pt idx="6">
                  <c:v>1.9794327007705017</c:v>
                </c:pt>
                <c:pt idx="7">
                  <c:v>1.9028601882232745</c:v>
                </c:pt>
                <c:pt idx="8">
                  <c:v>1.8750491271039216</c:v>
                </c:pt>
                <c:pt idx="9">
                  <c:v>1.9022244504527088</c:v>
                </c:pt>
                <c:pt idx="10">
                  <c:v>1.9929215441011663</c:v>
                </c:pt>
                <c:pt idx="11">
                  <c:v>1.9799055793991416</c:v>
                </c:pt>
                <c:pt idx="12">
                  <c:v>1.9346227039935819</c:v>
                </c:pt>
                <c:pt idx="13">
                  <c:v>1.9067853225234439</c:v>
                </c:pt>
              </c:numCache>
            </c:numRef>
          </c:yVal>
          <c:smooth val="0"/>
          <c:extLst>
            <c:ext xmlns:c16="http://schemas.microsoft.com/office/drawing/2014/chart" uri="{C3380CC4-5D6E-409C-BE32-E72D297353CC}">
              <c16:uniqueId val="{00000001-3B80-452D-A0AC-25093096B2BF}"/>
            </c:ext>
          </c:extLst>
        </c:ser>
        <c:dLbls>
          <c:showLegendKey val="0"/>
          <c:showVal val="0"/>
          <c:showCatName val="0"/>
          <c:showSerName val="0"/>
          <c:showPercent val="0"/>
          <c:showBubbleSize val="0"/>
        </c:dLbls>
        <c:axId val="951156144"/>
        <c:axId val="951140304"/>
      </c:scatterChart>
      <c:valAx>
        <c:axId val="9511561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Male-</a:t>
                </a:r>
                <a:r>
                  <a:rPr lang="en-IN" b="1" baseline="0"/>
                  <a:t> Female Ratio</a:t>
                </a:r>
                <a:endParaRPr lang="en-IN"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140304"/>
        <c:crosses val="autoZero"/>
        <c:crossBetween val="midCat"/>
      </c:valAx>
      <c:valAx>
        <c:axId val="951140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IN" sz="1050" b="1"/>
                  <a:t> Overal</a:t>
                </a:r>
                <a:r>
                  <a:rPr lang="en-IN" sz="1050" b="1" baseline="0"/>
                  <a:t> Education Rate</a:t>
                </a:r>
                <a:endParaRPr lang="en-IN" sz="1050" b="1"/>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11561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[final.xlsx]Marital Status!PivotTable24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Religious composition in Rural and Urban Areas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EEA2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5C9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EA2DE"/>
          </a:solidFill>
          <a:ln>
            <a:noFill/>
          </a:ln>
          <a:effectLst/>
        </c:spPr>
      </c:pivotFmt>
      <c:pivotFmt>
        <c:idx val="8"/>
        <c:spPr>
          <a:solidFill>
            <a:srgbClr val="EEA2DE"/>
          </a:solidFill>
          <a:ln>
            <a:noFill/>
          </a:ln>
          <a:effectLst/>
        </c:spPr>
      </c:pivotFmt>
    </c:pivotFmts>
    <c:plotArea>
      <c:layout/>
      <c:barChart>
        <c:barDir val="col"/>
        <c:grouping val="percentStacked"/>
        <c:varyColors val="0"/>
        <c:ser>
          <c:idx val="0"/>
          <c:order val="0"/>
          <c:tx>
            <c:strRef>
              <c:f>'Marital Status'!$G$22</c:f>
              <c:strCache>
                <c:ptCount val="1"/>
                <c:pt idx="0">
                  <c:v>Sum of Total Hindu Population</c:v>
                </c:pt>
              </c:strCache>
            </c:strRef>
          </c:tx>
          <c:spPr>
            <a:solidFill>
              <a:srgbClr val="EEA2DE"/>
            </a:solidFill>
            <a:ln>
              <a:noFill/>
            </a:ln>
            <a:effectLst/>
          </c:spPr>
          <c:invertIfNegative val="0"/>
          <c:cat>
            <c:strRef>
              <c:f>'Marital Status'!$F$23:$F$25</c:f>
              <c:strCache>
                <c:ptCount val="2"/>
                <c:pt idx="0">
                  <c:v>Rural</c:v>
                </c:pt>
                <c:pt idx="1">
                  <c:v>Urban</c:v>
                </c:pt>
              </c:strCache>
            </c:strRef>
          </c:cat>
          <c:val>
            <c:numRef>
              <c:f>'Marital Status'!$G$23:$G$25</c:f>
              <c:numCache>
                <c:formatCode>General</c:formatCode>
                <c:ptCount val="2"/>
                <c:pt idx="0">
                  <c:v>4145074</c:v>
                </c:pt>
                <c:pt idx="1">
                  <c:v>6639450</c:v>
                </c:pt>
              </c:numCache>
            </c:numRef>
          </c:val>
          <c:extLst>
            <c:ext xmlns:c16="http://schemas.microsoft.com/office/drawing/2014/chart" uri="{C3380CC4-5D6E-409C-BE32-E72D297353CC}">
              <c16:uniqueId val="{00000000-37B0-4099-B452-66084ECC69E4}"/>
            </c:ext>
          </c:extLst>
        </c:ser>
        <c:ser>
          <c:idx val="1"/>
          <c:order val="1"/>
          <c:tx>
            <c:strRef>
              <c:f>'Marital Status'!$H$22</c:f>
              <c:strCache>
                <c:ptCount val="1"/>
                <c:pt idx="0">
                  <c:v>Sum of Total Muslim Population</c:v>
                </c:pt>
              </c:strCache>
            </c:strRef>
          </c:tx>
          <c:spPr>
            <a:solidFill>
              <a:srgbClr val="D5C933"/>
            </a:solidFill>
            <a:ln>
              <a:noFill/>
            </a:ln>
            <a:effectLst/>
          </c:spPr>
          <c:invertIfNegative val="0"/>
          <c:cat>
            <c:strRef>
              <c:f>'Marital Status'!$F$23:$F$25</c:f>
              <c:strCache>
                <c:ptCount val="2"/>
                <c:pt idx="0">
                  <c:v>Rural</c:v>
                </c:pt>
                <c:pt idx="1">
                  <c:v>Urban</c:v>
                </c:pt>
              </c:strCache>
            </c:strRef>
          </c:cat>
          <c:val>
            <c:numRef>
              <c:f>'Marital Status'!$H$23:$H$25</c:f>
              <c:numCache>
                <c:formatCode>General</c:formatCode>
                <c:ptCount val="2"/>
                <c:pt idx="0">
                  <c:v>557146</c:v>
                </c:pt>
                <c:pt idx="1">
                  <c:v>2424850</c:v>
                </c:pt>
              </c:numCache>
            </c:numRef>
          </c:val>
          <c:extLst>
            <c:ext xmlns:c16="http://schemas.microsoft.com/office/drawing/2014/chart" uri="{C3380CC4-5D6E-409C-BE32-E72D297353CC}">
              <c16:uniqueId val="{00000001-37B0-4099-B452-66084ECC69E4}"/>
            </c:ext>
          </c:extLst>
        </c:ser>
        <c:ser>
          <c:idx val="2"/>
          <c:order val="2"/>
          <c:tx>
            <c:strRef>
              <c:f>'Marital Status'!$I$22</c:f>
              <c:strCache>
                <c:ptCount val="1"/>
                <c:pt idx="0">
                  <c:v>Sum of Total Christian Population</c:v>
                </c:pt>
              </c:strCache>
            </c:strRef>
          </c:tx>
          <c:spPr>
            <a:solidFill>
              <a:schemeClr val="accent3"/>
            </a:solidFill>
            <a:ln>
              <a:noFill/>
            </a:ln>
            <a:effectLst/>
          </c:spPr>
          <c:invertIfNegative val="0"/>
          <c:cat>
            <c:strRef>
              <c:f>'Marital Status'!$F$23:$F$25</c:f>
              <c:strCache>
                <c:ptCount val="2"/>
                <c:pt idx="0">
                  <c:v>Rural</c:v>
                </c:pt>
                <c:pt idx="1">
                  <c:v>Urban</c:v>
                </c:pt>
              </c:strCache>
            </c:strRef>
          </c:cat>
          <c:val>
            <c:numRef>
              <c:f>'Marital Status'!$I$23:$I$25</c:f>
              <c:numCache>
                <c:formatCode>General</c:formatCode>
                <c:ptCount val="2"/>
                <c:pt idx="0">
                  <c:v>7412</c:v>
                </c:pt>
                <c:pt idx="1">
                  <c:v>53732</c:v>
                </c:pt>
              </c:numCache>
            </c:numRef>
          </c:val>
          <c:extLst>
            <c:ext xmlns:c16="http://schemas.microsoft.com/office/drawing/2014/chart" uri="{C3380CC4-5D6E-409C-BE32-E72D297353CC}">
              <c16:uniqueId val="{00000002-37B0-4099-B452-66084ECC69E4}"/>
            </c:ext>
          </c:extLst>
        </c:ser>
        <c:ser>
          <c:idx val="3"/>
          <c:order val="3"/>
          <c:tx>
            <c:strRef>
              <c:f>'Marital Status'!$J$22</c:f>
              <c:strCache>
                <c:ptCount val="1"/>
                <c:pt idx="0">
                  <c:v>Sum of Total  Sikh Population</c:v>
                </c:pt>
              </c:strCache>
            </c:strRef>
          </c:tx>
          <c:spPr>
            <a:solidFill>
              <a:schemeClr val="accent4"/>
            </a:solidFill>
            <a:ln>
              <a:noFill/>
            </a:ln>
            <a:effectLst/>
          </c:spPr>
          <c:invertIfNegative val="0"/>
          <c:cat>
            <c:strRef>
              <c:f>'Marital Status'!$F$23:$F$25</c:f>
              <c:strCache>
                <c:ptCount val="2"/>
                <c:pt idx="0">
                  <c:v>Rural</c:v>
                </c:pt>
                <c:pt idx="1">
                  <c:v>Urban</c:v>
                </c:pt>
              </c:strCache>
            </c:strRef>
          </c:cat>
          <c:val>
            <c:numRef>
              <c:f>'Marital Status'!$J$23:$J$25</c:f>
              <c:numCache>
                <c:formatCode>General</c:formatCode>
                <c:ptCount val="2"/>
                <c:pt idx="0">
                  <c:v>3192</c:v>
                </c:pt>
                <c:pt idx="1">
                  <c:v>69720</c:v>
                </c:pt>
              </c:numCache>
            </c:numRef>
          </c:val>
          <c:extLst>
            <c:ext xmlns:c16="http://schemas.microsoft.com/office/drawing/2014/chart" uri="{C3380CC4-5D6E-409C-BE32-E72D297353CC}">
              <c16:uniqueId val="{00000003-37B0-4099-B452-66084ECC69E4}"/>
            </c:ext>
          </c:extLst>
        </c:ser>
        <c:ser>
          <c:idx val="4"/>
          <c:order val="4"/>
          <c:tx>
            <c:strRef>
              <c:f>'Marital Status'!$K$22</c:f>
              <c:strCache>
                <c:ptCount val="1"/>
                <c:pt idx="0">
                  <c:v>Sum of Total Buddhist Population</c:v>
                </c:pt>
              </c:strCache>
            </c:strRef>
          </c:tx>
          <c:spPr>
            <a:solidFill>
              <a:schemeClr val="accent5"/>
            </a:solidFill>
            <a:ln>
              <a:noFill/>
            </a:ln>
            <a:effectLst/>
          </c:spPr>
          <c:invertIfNegative val="0"/>
          <c:cat>
            <c:strRef>
              <c:f>'Marital Status'!$F$23:$F$25</c:f>
              <c:strCache>
                <c:ptCount val="2"/>
                <c:pt idx="0">
                  <c:v>Rural</c:v>
                </c:pt>
                <c:pt idx="1">
                  <c:v>Urban</c:v>
                </c:pt>
              </c:strCache>
            </c:strRef>
          </c:cat>
          <c:val>
            <c:numRef>
              <c:f>'Marital Status'!$K$23:$K$25</c:f>
              <c:numCache>
                <c:formatCode>General</c:formatCode>
                <c:ptCount val="2"/>
                <c:pt idx="0">
                  <c:v>2866</c:v>
                </c:pt>
                <c:pt idx="1">
                  <c:v>9040</c:v>
                </c:pt>
              </c:numCache>
            </c:numRef>
          </c:val>
          <c:extLst>
            <c:ext xmlns:c16="http://schemas.microsoft.com/office/drawing/2014/chart" uri="{C3380CC4-5D6E-409C-BE32-E72D297353CC}">
              <c16:uniqueId val="{00000004-37B0-4099-B452-66084ECC69E4}"/>
            </c:ext>
          </c:extLst>
        </c:ser>
        <c:ser>
          <c:idx val="5"/>
          <c:order val="5"/>
          <c:tx>
            <c:strRef>
              <c:f>'Marital Status'!$L$22</c:f>
              <c:strCache>
                <c:ptCount val="1"/>
                <c:pt idx="0">
                  <c:v>Sum of Tota Jain Population</c:v>
                </c:pt>
              </c:strCache>
            </c:strRef>
          </c:tx>
          <c:spPr>
            <a:solidFill>
              <a:schemeClr val="accent6"/>
            </a:solidFill>
            <a:ln>
              <a:noFill/>
            </a:ln>
            <a:effectLst/>
          </c:spPr>
          <c:invertIfNegative val="0"/>
          <c:cat>
            <c:strRef>
              <c:f>'Marital Status'!$F$23:$F$25</c:f>
              <c:strCache>
                <c:ptCount val="2"/>
                <c:pt idx="0">
                  <c:v>Rural</c:v>
                </c:pt>
                <c:pt idx="1">
                  <c:v>Urban</c:v>
                </c:pt>
              </c:strCache>
            </c:strRef>
          </c:cat>
          <c:val>
            <c:numRef>
              <c:f>'Marital Status'!$L$23:$L$25</c:f>
              <c:numCache>
                <c:formatCode>General</c:formatCode>
                <c:ptCount val="2"/>
                <c:pt idx="0">
                  <c:v>582</c:v>
                </c:pt>
                <c:pt idx="1">
                  <c:v>14384</c:v>
                </c:pt>
              </c:numCache>
            </c:numRef>
          </c:val>
          <c:extLst>
            <c:ext xmlns:c16="http://schemas.microsoft.com/office/drawing/2014/chart" uri="{C3380CC4-5D6E-409C-BE32-E72D297353CC}">
              <c16:uniqueId val="{00000005-37B0-4099-B452-66084ECC69E4}"/>
            </c:ext>
          </c:extLst>
        </c:ser>
        <c:ser>
          <c:idx val="6"/>
          <c:order val="6"/>
          <c:tx>
            <c:strRef>
              <c:f>'Marital Status'!$M$22</c:f>
              <c:strCache>
                <c:ptCount val="1"/>
                <c:pt idx="0">
                  <c:v>Sum of Other Population</c:v>
                </c:pt>
              </c:strCache>
            </c:strRef>
          </c:tx>
          <c:spPr>
            <a:solidFill>
              <a:schemeClr val="accent1">
                <a:lumMod val="60000"/>
              </a:schemeClr>
            </a:solidFill>
            <a:ln>
              <a:noFill/>
            </a:ln>
            <a:effectLst/>
          </c:spPr>
          <c:invertIfNegative val="0"/>
          <c:cat>
            <c:strRef>
              <c:f>'Marital Status'!$F$23:$F$25</c:f>
              <c:strCache>
                <c:ptCount val="2"/>
                <c:pt idx="0">
                  <c:v>Rural</c:v>
                </c:pt>
                <c:pt idx="1">
                  <c:v>Urban</c:v>
                </c:pt>
              </c:strCache>
            </c:strRef>
          </c:cat>
          <c:val>
            <c:numRef>
              <c:f>'Marital Status'!$M$23:$M$25</c:f>
              <c:numCache>
                <c:formatCode>General</c:formatCode>
                <c:ptCount val="2"/>
                <c:pt idx="0">
                  <c:v>336</c:v>
                </c:pt>
                <c:pt idx="1">
                  <c:v>1174</c:v>
                </c:pt>
              </c:numCache>
            </c:numRef>
          </c:val>
          <c:extLst>
            <c:ext xmlns:c16="http://schemas.microsoft.com/office/drawing/2014/chart" uri="{C3380CC4-5D6E-409C-BE32-E72D297353CC}">
              <c16:uniqueId val="{00000006-37B0-4099-B452-66084ECC69E4}"/>
            </c:ext>
          </c:extLst>
        </c:ser>
        <c:dLbls>
          <c:showLegendKey val="0"/>
          <c:showVal val="0"/>
          <c:showCatName val="0"/>
          <c:showSerName val="0"/>
          <c:showPercent val="0"/>
          <c:showBubbleSize val="0"/>
        </c:dLbls>
        <c:gapWidth val="150"/>
        <c:overlap val="100"/>
        <c:axId val="2133062160"/>
        <c:axId val="2133058800"/>
      </c:barChart>
      <c:catAx>
        <c:axId val="213306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058800"/>
        <c:crosses val="autoZero"/>
        <c:auto val="1"/>
        <c:lblAlgn val="ctr"/>
        <c:lblOffset val="100"/>
        <c:noMultiLvlLbl val="0"/>
      </c:catAx>
      <c:valAx>
        <c:axId val="21330588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06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Married</a:t>
            </a:r>
            <a:r>
              <a:rPr lang="en-IN" b="1" baseline="0"/>
              <a:t> Population</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doughnutChart>
        <c:varyColors val="1"/>
        <c:ser>
          <c:idx val="0"/>
          <c:order val="0"/>
          <c:spPr>
            <a:solidFill>
              <a:srgbClr val="993366"/>
            </a:solidFill>
          </c:spPr>
          <c:dPt>
            <c:idx val="0"/>
            <c:bubble3D val="0"/>
            <c:spPr>
              <a:solidFill>
                <a:srgbClr val="993366"/>
              </a:solidFill>
              <a:ln w="19050">
                <a:solidFill>
                  <a:schemeClr val="lt1"/>
                </a:solidFill>
              </a:ln>
              <a:effectLst/>
            </c:spPr>
            <c:extLst>
              <c:ext xmlns:c16="http://schemas.microsoft.com/office/drawing/2014/chart" uri="{C3380CC4-5D6E-409C-BE32-E72D297353CC}">
                <c16:uniqueId val="{00000002-BF90-43DE-8D57-D0AE8FB1B7CA}"/>
              </c:ext>
            </c:extLst>
          </c:dPt>
          <c:dPt>
            <c:idx val="1"/>
            <c:bubble3D val="0"/>
            <c:spPr>
              <a:solidFill>
                <a:srgbClr val="2C92AA"/>
              </a:solidFill>
              <a:ln w="19050">
                <a:solidFill>
                  <a:schemeClr val="lt1"/>
                </a:solidFill>
              </a:ln>
              <a:effectLst/>
            </c:spPr>
            <c:extLst>
              <c:ext xmlns:c16="http://schemas.microsoft.com/office/drawing/2014/chart" uri="{C3380CC4-5D6E-409C-BE32-E72D297353CC}">
                <c16:uniqueId val="{00000001-BF90-43DE-8D57-D0AE8FB1B7CA}"/>
              </c:ext>
            </c:extLst>
          </c:dPt>
          <c:dLbls>
            <c:dLbl>
              <c:idx val="0"/>
              <c:layout>
                <c:manualLayout>
                  <c:x val="0.110607874812187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90-43DE-8D57-D0AE8FB1B7CA}"/>
                </c:ext>
              </c:extLst>
            </c:dLbl>
            <c:dLbl>
              <c:idx val="1"/>
              <c:layout>
                <c:manualLayout>
                  <c:x val="-0.13349226270436407"/>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90-43DE-8D57-D0AE8FB1B7C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'Marital Status'!$E$35:$E$36</c:f>
              <c:strCache>
                <c:ptCount val="2"/>
                <c:pt idx="0">
                  <c:v>% of rural married people</c:v>
                </c:pt>
                <c:pt idx="1">
                  <c:v>% of urban married people</c:v>
                </c:pt>
              </c:strCache>
            </c:strRef>
          </c:cat>
          <c:val>
            <c:numRef>
              <c:f>'Marital Status'!$F$35:$F$36</c:f>
              <c:numCache>
                <c:formatCode>0%</c:formatCode>
                <c:ptCount val="2"/>
                <c:pt idx="0">
                  <c:v>0.41433547159314488</c:v>
                </c:pt>
                <c:pt idx="1">
                  <c:v>0.46137217973698352</c:v>
                </c:pt>
              </c:numCache>
            </c:numRef>
          </c:val>
          <c:extLst>
            <c:ext xmlns:c16="http://schemas.microsoft.com/office/drawing/2014/chart" uri="{C3380CC4-5D6E-409C-BE32-E72D297353CC}">
              <c16:uniqueId val="{00000000-BF90-43DE-8D57-D0AE8FB1B7C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Married</a:t>
            </a:r>
            <a:r>
              <a:rPr lang="en-IN" b="1" baseline="0"/>
              <a:t> Vs Divorced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0"/>
        <c:ser>
          <c:idx val="0"/>
          <c:order val="0"/>
          <c:spPr>
            <a:solidFill>
              <a:schemeClr val="accent1"/>
            </a:solidFill>
            <a:ln w="19050">
              <a:solidFill>
                <a:schemeClr val="lt1"/>
              </a:solidFill>
            </a:ln>
            <a:effectLst/>
          </c:spPr>
          <c:dPt>
            <c:idx val="0"/>
            <c:bubble3D val="0"/>
            <c:spPr>
              <a:solidFill>
                <a:srgbClr val="C1E4FF"/>
              </a:solidFill>
              <a:ln w="19050">
                <a:solidFill>
                  <a:schemeClr val="lt1"/>
                </a:solidFill>
              </a:ln>
              <a:effectLst/>
            </c:spPr>
            <c:extLst>
              <c:ext xmlns:c16="http://schemas.microsoft.com/office/drawing/2014/chart" uri="{C3380CC4-5D6E-409C-BE32-E72D297353CC}">
                <c16:uniqueId val="{00000001-9CC9-4C40-8CB0-332268F7BA67}"/>
              </c:ext>
            </c:extLst>
          </c:dPt>
          <c:dPt>
            <c:idx val="1"/>
            <c:bubble3D val="0"/>
            <c:spPr>
              <a:solidFill>
                <a:srgbClr val="E820B8"/>
              </a:solidFill>
              <a:ln w="19050">
                <a:noFill/>
              </a:ln>
              <a:effectLst/>
            </c:spPr>
            <c:extLst>
              <c:ext xmlns:c16="http://schemas.microsoft.com/office/drawing/2014/chart" uri="{C3380CC4-5D6E-409C-BE32-E72D297353CC}">
                <c16:uniqueId val="{00000002-9CC9-4C40-8CB0-332268F7BA6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'Marital Status'!$G$47:$G$48</c:f>
              <c:strCache>
                <c:ptCount val="2"/>
                <c:pt idx="0">
                  <c:v>% of Married Population </c:v>
                </c:pt>
                <c:pt idx="1">
                  <c:v>% of Divorced Population</c:v>
                </c:pt>
              </c:strCache>
            </c:strRef>
          </c:cat>
          <c:val>
            <c:numRef>
              <c:f>'Marital Status'!$H$47:$H$48</c:f>
              <c:numCache>
                <c:formatCode>0.0%</c:formatCode>
                <c:ptCount val="2"/>
                <c:pt idx="0" formatCode="0%">
                  <c:v>0.44544466283838319</c:v>
                </c:pt>
                <c:pt idx="1">
                  <c:v>9.4608656297190353E-4</c:v>
                </c:pt>
              </c:numCache>
            </c:numRef>
          </c:val>
          <c:extLst>
            <c:ext xmlns:c16="http://schemas.microsoft.com/office/drawing/2014/chart" uri="{C3380CC4-5D6E-409C-BE32-E72D297353CC}">
              <c16:uniqueId val="{00000000-9CC9-4C40-8CB0-332268F7BA6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[final.xlsx]Surviving Children !PivotTable2</c:name>
    <c:fmtId val="7"/>
  </c:pivotSource>
  <c:chart>
    <c:autoTitleDeleted val="0"/>
    <c:pivotFmts>
      <c:pivotFmt>
        <c:idx val="0"/>
        <c:spPr>
          <a:gradFill>
            <a:gsLst>
              <a:gs pos="0">
                <a:srgbClr val="7030A0"/>
              </a:gs>
              <a:gs pos="74000">
                <a:schemeClr val="accent1">
                  <a:lumMod val="45000"/>
                  <a:lumOff val="55000"/>
                </a:schemeClr>
              </a:gs>
              <a:gs pos="100000">
                <a:schemeClr val="accent1">
                  <a:lumMod val="60000"/>
                  <a:lumOff val="40000"/>
                </a:schemeClr>
              </a:gs>
              <a:gs pos="24000">
                <a:srgbClr val="00B0F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6">
                  <a:lumMod val="20000"/>
                  <a:lumOff val="80000"/>
                </a:schemeClr>
              </a:gs>
              <a:gs pos="31000">
                <a:schemeClr val="accent6">
                  <a:lumMod val="75000"/>
                </a:schemeClr>
              </a:gs>
              <a:gs pos="99000">
                <a:schemeClr val="accent6">
                  <a:lumMod val="50000"/>
                </a:schemeClr>
              </a:gs>
              <a:gs pos="63000">
                <a:schemeClr val="accent6">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20000"/>
                  <a:lumOff val="80000"/>
                </a:schemeClr>
              </a:gs>
              <a:gs pos="31000">
                <a:schemeClr val="accent6">
                  <a:lumMod val="75000"/>
                </a:schemeClr>
              </a:gs>
              <a:gs pos="99000">
                <a:schemeClr val="accent6">
                  <a:lumMod val="50000"/>
                </a:schemeClr>
              </a:gs>
              <a:gs pos="63000">
                <a:schemeClr val="accent6">
                  <a:lumMod val="60000"/>
                  <a:lumOff val="40000"/>
                </a:schemeClr>
              </a:gs>
            </a:gsLst>
            <a:lin ang="5400000" scaled="1"/>
          </a:gra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7030A0"/>
              </a:gs>
              <a:gs pos="74000">
                <a:schemeClr val="accent1">
                  <a:lumMod val="45000"/>
                  <a:lumOff val="55000"/>
                </a:schemeClr>
              </a:gs>
              <a:gs pos="100000">
                <a:schemeClr val="accent1">
                  <a:lumMod val="60000"/>
                  <a:lumOff val="40000"/>
                </a:schemeClr>
              </a:gs>
              <a:gs pos="24000">
                <a:srgbClr val="00B0F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accent6">
                  <a:lumMod val="20000"/>
                  <a:lumOff val="80000"/>
                </a:schemeClr>
              </a:gs>
              <a:gs pos="31000">
                <a:schemeClr val="accent6">
                  <a:lumMod val="75000"/>
                </a:schemeClr>
              </a:gs>
              <a:gs pos="99000">
                <a:schemeClr val="accent6">
                  <a:lumMod val="50000"/>
                </a:schemeClr>
              </a:gs>
              <a:gs pos="63000">
                <a:schemeClr val="accent6">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rgbClr val="7030A0"/>
              </a:gs>
              <a:gs pos="74000">
                <a:schemeClr val="accent1">
                  <a:lumMod val="45000"/>
                  <a:lumOff val="55000"/>
                </a:schemeClr>
              </a:gs>
              <a:gs pos="100000">
                <a:schemeClr val="accent1">
                  <a:lumMod val="60000"/>
                  <a:lumOff val="40000"/>
                </a:schemeClr>
              </a:gs>
              <a:gs pos="24000">
                <a:srgbClr val="00B0F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6">
                  <a:lumMod val="20000"/>
                  <a:lumOff val="80000"/>
                </a:schemeClr>
              </a:gs>
              <a:gs pos="31000">
                <a:schemeClr val="accent6">
                  <a:lumMod val="75000"/>
                </a:schemeClr>
              </a:gs>
              <a:gs pos="99000">
                <a:schemeClr val="accent6">
                  <a:lumMod val="50000"/>
                </a:schemeClr>
              </a:gs>
              <a:gs pos="63000">
                <a:schemeClr val="accent6">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'Surviving Children '!$G$69</c:f>
              <c:strCache>
                <c:ptCount val="1"/>
                <c:pt idx="0">
                  <c:v>Sum of Total ever married women</c:v>
                </c:pt>
              </c:strCache>
            </c:strRef>
          </c:tx>
          <c:spPr>
            <a:gradFill>
              <a:gsLst>
                <a:gs pos="0">
                  <a:srgbClr val="7030A0"/>
                </a:gs>
                <a:gs pos="74000">
                  <a:schemeClr val="accent1">
                    <a:lumMod val="45000"/>
                    <a:lumOff val="55000"/>
                  </a:schemeClr>
                </a:gs>
                <a:gs pos="100000">
                  <a:schemeClr val="accent1">
                    <a:lumMod val="60000"/>
                    <a:lumOff val="40000"/>
                  </a:schemeClr>
                </a:gs>
                <a:gs pos="24000">
                  <a:srgbClr val="00B0F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'Surviving Children '!$F$70:$F$72</c:f>
              <c:strCache>
                <c:ptCount val="2"/>
                <c:pt idx="0">
                  <c:v>Illiterate</c:v>
                </c:pt>
                <c:pt idx="1">
                  <c:v>Literate</c:v>
                </c:pt>
              </c:strCache>
            </c:strRef>
          </c:cat>
          <c:val>
            <c:numRef>
              <c:f>'Surviving Children '!$G$70:$G$72</c:f>
              <c:numCache>
                <c:formatCode>#,##0</c:formatCode>
                <c:ptCount val="2"/>
                <c:pt idx="0">
                  <c:v>453180</c:v>
                </c:pt>
                <c:pt idx="1">
                  <c:v>718105</c:v>
                </c:pt>
              </c:numCache>
            </c:numRef>
          </c:val>
          <c:extLst>
            <c:ext xmlns:c16="http://schemas.microsoft.com/office/drawing/2014/chart" uri="{C3380CC4-5D6E-409C-BE32-E72D297353CC}">
              <c16:uniqueId val="{00000000-8E06-449F-8BF8-8EA07571269B}"/>
            </c:ext>
          </c:extLst>
        </c:ser>
        <c:ser>
          <c:idx val="1"/>
          <c:order val="1"/>
          <c:tx>
            <c:strRef>
              <c:f>'Surviving Children '!$H$69</c:f>
              <c:strCache>
                <c:ptCount val="1"/>
                <c:pt idx="0">
                  <c:v>Sum of Total Surviving Children</c:v>
                </c:pt>
              </c:strCache>
            </c:strRef>
          </c:tx>
          <c:spPr>
            <a:gradFill>
              <a:gsLst>
                <a:gs pos="0">
                  <a:schemeClr val="accent6">
                    <a:lumMod val="20000"/>
                    <a:lumOff val="80000"/>
                  </a:schemeClr>
                </a:gs>
                <a:gs pos="31000">
                  <a:schemeClr val="accent6">
                    <a:lumMod val="75000"/>
                  </a:schemeClr>
                </a:gs>
                <a:gs pos="99000">
                  <a:schemeClr val="accent6">
                    <a:lumMod val="50000"/>
                  </a:schemeClr>
                </a:gs>
                <a:gs pos="63000">
                  <a:schemeClr val="accent6">
                    <a:lumMod val="60000"/>
                    <a:lumOff val="4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'Surviving Children '!$F$70:$F$72</c:f>
              <c:strCache>
                <c:ptCount val="2"/>
                <c:pt idx="0">
                  <c:v>Illiterate</c:v>
                </c:pt>
                <c:pt idx="1">
                  <c:v>Literate</c:v>
                </c:pt>
              </c:strCache>
            </c:strRef>
          </c:cat>
          <c:val>
            <c:numRef>
              <c:f>'Surviving Children '!$H$70:$H$72</c:f>
              <c:numCache>
                <c:formatCode>#,##0</c:formatCode>
                <c:ptCount val="2"/>
                <c:pt idx="0">
                  <c:v>1350911</c:v>
                </c:pt>
                <c:pt idx="1">
                  <c:v>1370182</c:v>
                </c:pt>
              </c:numCache>
            </c:numRef>
          </c:val>
          <c:extLst>
            <c:ext xmlns:c16="http://schemas.microsoft.com/office/drawing/2014/chart" uri="{C3380CC4-5D6E-409C-BE32-E72D297353CC}">
              <c16:uniqueId val="{00000001-8E06-449F-8BF8-8EA07571269B}"/>
            </c:ext>
          </c:extLst>
        </c:ser>
        <c:dLbls>
          <c:dLblPos val="outEnd"/>
          <c:showLegendKey val="0"/>
          <c:showVal val="1"/>
          <c:showCatName val="0"/>
          <c:showSerName val="0"/>
          <c:showPercent val="0"/>
          <c:showBubbleSize val="0"/>
        </c:dLbls>
        <c:gapWidth val="219"/>
        <c:overlap val="-27"/>
        <c:axId val="1431936223"/>
        <c:axId val="1431938623"/>
      </c:barChart>
      <c:catAx>
        <c:axId val="1431936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431938623"/>
        <c:crosses val="autoZero"/>
        <c:auto val="1"/>
        <c:lblAlgn val="ctr"/>
        <c:lblOffset val="100"/>
        <c:noMultiLvlLbl val="0"/>
      </c:catAx>
      <c:valAx>
        <c:axId val="14319386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9362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Urban vs Rural Share of Total Population</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doughnutChart>
        <c:varyColors val="1"/>
        <c:ser>
          <c:idx val="2"/>
          <c:order val="2"/>
          <c:spPr>
            <a:gradFill>
              <a:gsLst>
                <a:gs pos="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c:spPr>
          <c:dPt>
            <c:idx val="0"/>
            <c:bubble3D val="0"/>
            <c:spPr>
              <a:gradFill>
                <a:gsLst>
                  <a:gs pos="21000">
                    <a:srgbClr val="C7091B"/>
                  </a:gs>
                  <a:gs pos="100000">
                    <a:srgbClr val="EEA2DE"/>
                  </a:gs>
                  <a:gs pos="99000">
                    <a:srgbClr val="ED37CA"/>
                  </a:gs>
                  <a:gs pos="100000">
                    <a:schemeClr val="accent1">
                      <a:lumMod val="30000"/>
                      <a:lumOff val="70000"/>
                    </a:schemeClr>
                  </a:gs>
                </a:gsLst>
                <a:lin ang="5400000" scaled="1"/>
              </a:gradFill>
              <a:ln w="19050">
                <a:noFill/>
              </a:ln>
              <a:effectLst/>
            </c:spPr>
            <c:extLst>
              <c:ext xmlns:c16="http://schemas.microsoft.com/office/drawing/2014/chart" uri="{C3380CC4-5D6E-409C-BE32-E72D297353CC}">
                <c16:uniqueId val="{00000001-EA92-405B-AE37-D21211E5CECB}"/>
              </c:ext>
            </c:extLst>
          </c:dPt>
          <c:dPt>
            <c:idx val="1"/>
            <c:bubble3D val="0"/>
            <c:spPr>
              <a:gradFill>
                <a:gsLst>
                  <a:gs pos="0">
                    <a:srgbClr val="7030A0"/>
                  </a:gs>
                  <a:gs pos="74000">
                    <a:srgbClr val="7030A0"/>
                  </a:gs>
                  <a:gs pos="83000">
                    <a:srgbClr val="7030A0"/>
                  </a:gs>
                  <a:gs pos="100000">
                    <a:schemeClr val="accent1">
                      <a:lumMod val="30000"/>
                      <a:lumOff val="70000"/>
                    </a:schemeClr>
                  </a:gs>
                </a:gsLst>
                <a:lin ang="5400000" scaled="1"/>
              </a:gradFill>
              <a:ln w="19050">
                <a:noFill/>
              </a:ln>
              <a:effectLst/>
            </c:spPr>
            <c:extLst>
              <c:ext xmlns:c16="http://schemas.microsoft.com/office/drawing/2014/chart" uri="{C3380CC4-5D6E-409C-BE32-E72D297353CC}">
                <c16:uniqueId val="{00000003-EA92-405B-AE37-D21211E5CECB}"/>
              </c:ext>
            </c:extLst>
          </c:dPt>
          <c:dLbls>
            <c:dLbl>
              <c:idx val="0"/>
              <c:layout>
                <c:manualLayout>
                  <c:x val="9.166666666666666E-2"/>
                  <c:y val="-2.777777777777777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A92-405B-AE37-D21211E5CECB}"/>
                </c:ext>
              </c:extLst>
            </c:dLbl>
            <c:dLbl>
              <c:idx val="1"/>
              <c:layout>
                <c:manualLayout>
                  <c:x val="-8.0555555555555561E-2"/>
                  <c:y val="-5.555555555555555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A92-405B-AE37-D21211E5CECB}"/>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Population!$A$16:$A$17</c:f>
              <c:strCache>
                <c:ptCount val="2"/>
                <c:pt idx="0">
                  <c:v>Urban Share in Population</c:v>
                </c:pt>
                <c:pt idx="1">
                  <c:v>Rural Share in Population</c:v>
                </c:pt>
              </c:strCache>
            </c:strRef>
          </c:cat>
          <c:val>
            <c:numRef>
              <c:f>Population!$D$16:$D$17</c:f>
              <c:numCache>
                <c:formatCode>0%</c:formatCode>
                <c:ptCount val="2"/>
                <c:pt idx="0">
                  <c:v>0.66648392593314132</c:v>
                </c:pt>
                <c:pt idx="1">
                  <c:v>0.33351607406685863</c:v>
                </c:pt>
              </c:numCache>
            </c:numRef>
          </c:val>
          <c:extLst>
            <c:ext xmlns:c16="http://schemas.microsoft.com/office/drawing/2014/chart" uri="{C3380CC4-5D6E-409C-BE32-E72D297353CC}">
              <c16:uniqueId val="{00000004-EA92-405B-AE37-D21211E5CECB}"/>
            </c:ext>
          </c:extLst>
        </c:ser>
        <c:dLbls>
          <c:showLegendKey val="0"/>
          <c:showVal val="1"/>
          <c:showCatName val="0"/>
          <c:showSerName val="0"/>
          <c:showPercent val="0"/>
          <c:showBubbleSize val="0"/>
          <c:showLeaderLines val="1"/>
        </c:dLbls>
        <c:firstSliceAng val="0"/>
        <c:holeSize val="75"/>
        <c:extLst>
          <c:ext xmlns:c15="http://schemas.microsoft.com/office/drawing/2012/chart" uri="{02D57815-91ED-43cb-92C2-25804820EDAC}">
            <c15:filteredPieSeries>
              <c15: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6-EA92-405B-AE37-D21211E5CE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EA92-405B-AE37-D21211E5CE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ormulaRef>
                          <c15:sqref>Population!$A$16:$A$17</c15:sqref>
                        </c15:formulaRef>
                      </c:ext>
                    </c:extLst>
                    <c:strCache>
                      <c:ptCount val="2"/>
                      <c:pt idx="0">
                        <c:v>Urban Share in Population</c:v>
                      </c:pt>
                      <c:pt idx="1">
                        <c:v>Rural Share in Population</c:v>
                      </c:pt>
                    </c:strCache>
                  </c:strRef>
                </c:cat>
                <c:val>
                  <c:numRef>
                    <c:extLst>
                      <c:ext uri="{02D57815-91ED-43cb-92C2-25804820EDAC}">
                        <c15:formulaRef>
                          <c15:sqref>Population!$B$16:$B$17</c15:sqref>
                        </c15:formulaRef>
                      </c:ext>
                    </c:extLst>
                    <c:numCache>
                      <c:formatCode>General</c:formatCode>
                      <c:ptCount val="2"/>
                    </c:numCache>
                  </c:numRef>
                </c:val>
                <c:extLst>
                  <c:ext xmlns:c16="http://schemas.microsoft.com/office/drawing/2014/chart" uri="{C3380CC4-5D6E-409C-BE32-E72D297353CC}">
                    <c16:uniqueId val="{00000009-EA92-405B-AE37-D21211E5CECB}"/>
                  </c:ext>
                </c:extLst>
              </c15:ser>
            </c15:filteredPieSeries>
            <c15:filteredPieSeries>
              <c15:ser>
                <c:idx val="1"/>
                <c:order val="1"/>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0B-EA92-405B-AE37-D21211E5CECB}"/>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0D-EA92-405B-AE37-D21211E5CE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Population!$A$16:$A$17</c15:sqref>
                        </c15:formulaRef>
                      </c:ext>
                    </c:extLst>
                    <c:strCache>
                      <c:ptCount val="2"/>
                      <c:pt idx="0">
                        <c:v>Urban Share in Population</c:v>
                      </c:pt>
                      <c:pt idx="1">
                        <c:v>Rural Share in Population</c:v>
                      </c:pt>
                    </c:strCache>
                  </c:strRef>
                </c:cat>
                <c:val>
                  <c:numRef>
                    <c:extLst xmlns:c15="http://schemas.microsoft.com/office/drawing/2012/chart">
                      <c:ext xmlns:c15="http://schemas.microsoft.com/office/drawing/2012/chart" uri="{02D57815-91ED-43cb-92C2-25804820EDAC}">
                        <c15:formulaRef>
                          <c15:sqref>Population!$C$16:$C$17</c15:sqref>
                        </c15:formulaRef>
                      </c:ext>
                    </c:extLst>
                    <c:numCache>
                      <c:formatCode>General</c:formatCode>
                      <c:ptCount val="2"/>
                    </c:numCache>
                  </c:numRef>
                </c:val>
                <c:extLst xmlns:c15="http://schemas.microsoft.com/office/drawing/2012/chart">
                  <c:ext xmlns:c16="http://schemas.microsoft.com/office/drawing/2014/chart" uri="{C3380CC4-5D6E-409C-BE32-E72D297353CC}">
                    <c16:uniqueId val="{0000000E-EA92-405B-AE37-D21211E5CECB}"/>
                  </c:ext>
                </c:extLst>
              </c15:ser>
            </c15:filteredPieSeries>
          </c:ext>
        </c:extLst>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Male vs Female Population by Age Group</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Population!$D$3</c:f>
              <c:strCache>
                <c:ptCount val="1"/>
                <c:pt idx="0">
                  <c:v>Male Population </c:v>
                </c:pt>
              </c:strCache>
            </c:strRef>
          </c:tx>
          <c:spPr>
            <a:solidFill>
              <a:srgbClr val="00B0F0"/>
            </a:solidFill>
            <a:ln>
              <a:noFill/>
            </a:ln>
            <a:effectLst/>
          </c:spPr>
          <c:invertIfNegative val="0"/>
          <c:cat>
            <c:strRef>
              <c:f>Population!$C$4:$C$13</c:f>
              <c:strCache>
                <c:ptCount val="10"/>
                <c:pt idx="0">
                  <c:v>0-19</c:v>
                </c:pt>
                <c:pt idx="1">
                  <c:v>20-39</c:v>
                </c:pt>
                <c:pt idx="2">
                  <c:v>40-59</c:v>
                </c:pt>
                <c:pt idx="3">
                  <c:v>60-79</c:v>
                </c:pt>
                <c:pt idx="4">
                  <c:v>80+</c:v>
                </c:pt>
                <c:pt idx="5">
                  <c:v>0-19</c:v>
                </c:pt>
                <c:pt idx="6">
                  <c:v>20-39</c:v>
                </c:pt>
                <c:pt idx="7">
                  <c:v>40-59</c:v>
                </c:pt>
                <c:pt idx="8">
                  <c:v>60-79</c:v>
                </c:pt>
                <c:pt idx="9">
                  <c:v>80+</c:v>
                </c:pt>
              </c:strCache>
            </c:strRef>
          </c:cat>
          <c:val>
            <c:numRef>
              <c:f>Population!$D$4:$D$13</c:f>
              <c:numCache>
                <c:formatCode>General</c:formatCode>
                <c:ptCount val="10"/>
                <c:pt idx="0">
                  <c:v>306652</c:v>
                </c:pt>
                <c:pt idx="1">
                  <c:v>239765</c:v>
                </c:pt>
                <c:pt idx="2">
                  <c:v>119580</c:v>
                </c:pt>
                <c:pt idx="3">
                  <c:v>57809</c:v>
                </c:pt>
                <c:pt idx="4">
                  <c:v>6954</c:v>
                </c:pt>
                <c:pt idx="5">
                  <c:v>471996</c:v>
                </c:pt>
                <c:pt idx="6">
                  <c:v>536182</c:v>
                </c:pt>
                <c:pt idx="7">
                  <c:v>314960</c:v>
                </c:pt>
                <c:pt idx="8">
                  <c:v>107823</c:v>
                </c:pt>
                <c:pt idx="9">
                  <c:v>13424</c:v>
                </c:pt>
              </c:numCache>
            </c:numRef>
          </c:val>
          <c:extLst>
            <c:ext xmlns:c16="http://schemas.microsoft.com/office/drawing/2014/chart" uri="{C3380CC4-5D6E-409C-BE32-E72D297353CC}">
              <c16:uniqueId val="{00000000-3CF6-4DB3-B3B1-769FAAC75E6B}"/>
            </c:ext>
          </c:extLst>
        </c:ser>
        <c:ser>
          <c:idx val="1"/>
          <c:order val="1"/>
          <c:tx>
            <c:strRef>
              <c:f>Population!$E$3</c:f>
              <c:strCache>
                <c:ptCount val="1"/>
                <c:pt idx="0">
                  <c:v>Female Population</c:v>
                </c:pt>
              </c:strCache>
            </c:strRef>
          </c:tx>
          <c:spPr>
            <a:solidFill>
              <a:srgbClr val="ED37CA"/>
            </a:solidFill>
            <a:ln>
              <a:noFill/>
            </a:ln>
            <a:effectLst/>
          </c:spPr>
          <c:invertIfNegative val="0"/>
          <c:cat>
            <c:strRef>
              <c:f>Population!$C$4:$C$13</c:f>
              <c:strCache>
                <c:ptCount val="10"/>
                <c:pt idx="0">
                  <c:v>0-19</c:v>
                </c:pt>
                <c:pt idx="1">
                  <c:v>20-39</c:v>
                </c:pt>
                <c:pt idx="2">
                  <c:v>40-59</c:v>
                </c:pt>
                <c:pt idx="3">
                  <c:v>60-79</c:v>
                </c:pt>
                <c:pt idx="4">
                  <c:v>80+</c:v>
                </c:pt>
                <c:pt idx="5">
                  <c:v>0-19</c:v>
                </c:pt>
                <c:pt idx="6">
                  <c:v>20-39</c:v>
                </c:pt>
                <c:pt idx="7">
                  <c:v>40-59</c:v>
                </c:pt>
                <c:pt idx="8">
                  <c:v>60-79</c:v>
                </c:pt>
                <c:pt idx="9">
                  <c:v>80+</c:v>
                </c:pt>
              </c:strCache>
            </c:strRef>
          </c:cat>
          <c:val>
            <c:numRef>
              <c:f>Population!$E$4:$E$13</c:f>
              <c:numCache>
                <c:formatCode>General</c:formatCode>
                <c:ptCount val="10"/>
                <c:pt idx="0">
                  <c:v>276303</c:v>
                </c:pt>
                <c:pt idx="1">
                  <c:v>213365</c:v>
                </c:pt>
                <c:pt idx="2">
                  <c:v>106242</c:v>
                </c:pt>
                <c:pt idx="3">
                  <c:v>56052</c:v>
                </c:pt>
                <c:pt idx="4">
                  <c:v>7379</c:v>
                </c:pt>
                <c:pt idx="5">
                  <c:v>420180</c:v>
                </c:pt>
                <c:pt idx="6">
                  <c:v>514499</c:v>
                </c:pt>
                <c:pt idx="7">
                  <c:v>288908</c:v>
                </c:pt>
                <c:pt idx="8">
                  <c:v>96186</c:v>
                </c:pt>
                <c:pt idx="9">
                  <c:v>13759</c:v>
                </c:pt>
              </c:numCache>
            </c:numRef>
          </c:val>
          <c:extLst>
            <c:ext xmlns:c16="http://schemas.microsoft.com/office/drawing/2014/chart" uri="{C3380CC4-5D6E-409C-BE32-E72D297353CC}">
              <c16:uniqueId val="{00000001-3CF6-4DB3-B3B1-769FAAC75E6B}"/>
            </c:ext>
          </c:extLst>
        </c:ser>
        <c:dLbls>
          <c:showLegendKey val="0"/>
          <c:showVal val="0"/>
          <c:showCatName val="0"/>
          <c:showSerName val="0"/>
          <c:showPercent val="0"/>
          <c:showBubbleSize val="0"/>
        </c:dLbls>
        <c:gapWidth val="182"/>
        <c:axId val="727220719"/>
        <c:axId val="727228399"/>
      </c:barChart>
      <c:catAx>
        <c:axId val="727220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7228399"/>
        <c:crosses val="autoZero"/>
        <c:auto val="1"/>
        <c:lblAlgn val="ctr"/>
        <c:lblOffset val="100"/>
        <c:noMultiLvlLbl val="0"/>
      </c:catAx>
      <c:valAx>
        <c:axId val="7272283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72207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Gender Composition within Each Age Group</a:t>
            </a:r>
            <a:endParaRPr lang="en-IN" b="1"/>
          </a:p>
        </c:rich>
      </c:tx>
      <c:layout>
        <c:manualLayout>
          <c:xMode val="edge"/>
          <c:yMode val="edge"/>
          <c:x val="0.17269444444444446"/>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percentStacked"/>
        <c:varyColors val="0"/>
        <c:ser>
          <c:idx val="0"/>
          <c:order val="0"/>
          <c:tx>
            <c:strRef>
              <c:f>Population!$H$3</c:f>
              <c:strCache>
                <c:ptCount val="1"/>
                <c:pt idx="0">
                  <c:v>Male %</c:v>
                </c:pt>
              </c:strCache>
            </c:strRef>
          </c:tx>
          <c:spPr>
            <a:solidFill>
              <a:srgbClr val="00D3F0"/>
            </a:solidFill>
            <a:ln>
              <a:noFill/>
            </a:ln>
            <a:effectLst/>
          </c:spPr>
          <c:invertIfNegative val="0"/>
          <c:cat>
            <c:strRef>
              <c:f>Population!$C$4:$C$13</c:f>
              <c:strCache>
                <c:ptCount val="10"/>
                <c:pt idx="0">
                  <c:v>0-19</c:v>
                </c:pt>
                <c:pt idx="1">
                  <c:v>20-39</c:v>
                </c:pt>
                <c:pt idx="2">
                  <c:v>40-59</c:v>
                </c:pt>
                <c:pt idx="3">
                  <c:v>60-79</c:v>
                </c:pt>
                <c:pt idx="4">
                  <c:v>80+</c:v>
                </c:pt>
                <c:pt idx="5">
                  <c:v>0-19</c:v>
                </c:pt>
                <c:pt idx="6">
                  <c:v>20-39</c:v>
                </c:pt>
                <c:pt idx="7">
                  <c:v>40-59</c:v>
                </c:pt>
                <c:pt idx="8">
                  <c:v>60-79</c:v>
                </c:pt>
                <c:pt idx="9">
                  <c:v>80+</c:v>
                </c:pt>
              </c:strCache>
            </c:strRef>
          </c:cat>
          <c:val>
            <c:numRef>
              <c:f>Population!$H$4:$H$13</c:f>
              <c:numCache>
                <c:formatCode>0%</c:formatCode>
                <c:ptCount val="10"/>
                <c:pt idx="0">
                  <c:v>0.52603031108747678</c:v>
                </c:pt>
                <c:pt idx="1">
                  <c:v>0.52913071304040782</c:v>
                </c:pt>
                <c:pt idx="2">
                  <c:v>0.52953210936046979</c:v>
                </c:pt>
                <c:pt idx="3">
                  <c:v>0.50771554790490159</c:v>
                </c:pt>
                <c:pt idx="4">
                  <c:v>0.48517407381567013</c:v>
                </c:pt>
                <c:pt idx="5">
                  <c:v>0.52903911335879916</c:v>
                </c:pt>
                <c:pt idx="6">
                  <c:v>0.51031854578126001</c:v>
                </c:pt>
                <c:pt idx="7">
                  <c:v>0.52157093934436005</c:v>
                </c:pt>
                <c:pt idx="8">
                  <c:v>0.52852080055291684</c:v>
                </c:pt>
                <c:pt idx="9">
                  <c:v>0.49383806055255125</c:v>
                </c:pt>
              </c:numCache>
            </c:numRef>
          </c:val>
          <c:extLst>
            <c:ext xmlns:c16="http://schemas.microsoft.com/office/drawing/2014/chart" uri="{C3380CC4-5D6E-409C-BE32-E72D297353CC}">
              <c16:uniqueId val="{00000000-2DDD-40E6-BDCB-EFDA07C827B2}"/>
            </c:ext>
          </c:extLst>
        </c:ser>
        <c:ser>
          <c:idx val="1"/>
          <c:order val="1"/>
          <c:tx>
            <c:strRef>
              <c:f>Population!$I$3</c:f>
              <c:strCache>
                <c:ptCount val="1"/>
                <c:pt idx="0">
                  <c:v>Female %</c:v>
                </c:pt>
              </c:strCache>
            </c:strRef>
          </c:tx>
          <c:spPr>
            <a:solidFill>
              <a:srgbClr val="EEA2DE"/>
            </a:solidFill>
            <a:ln>
              <a:noFill/>
            </a:ln>
            <a:effectLst/>
          </c:spPr>
          <c:invertIfNegative val="0"/>
          <c:cat>
            <c:strRef>
              <c:f>Population!$C$4:$C$13</c:f>
              <c:strCache>
                <c:ptCount val="10"/>
                <c:pt idx="0">
                  <c:v>0-19</c:v>
                </c:pt>
                <c:pt idx="1">
                  <c:v>20-39</c:v>
                </c:pt>
                <c:pt idx="2">
                  <c:v>40-59</c:v>
                </c:pt>
                <c:pt idx="3">
                  <c:v>60-79</c:v>
                </c:pt>
                <c:pt idx="4">
                  <c:v>80+</c:v>
                </c:pt>
                <c:pt idx="5">
                  <c:v>0-19</c:v>
                </c:pt>
                <c:pt idx="6">
                  <c:v>20-39</c:v>
                </c:pt>
                <c:pt idx="7">
                  <c:v>40-59</c:v>
                </c:pt>
                <c:pt idx="8">
                  <c:v>60-79</c:v>
                </c:pt>
                <c:pt idx="9">
                  <c:v>80+</c:v>
                </c:pt>
              </c:strCache>
            </c:strRef>
          </c:cat>
          <c:val>
            <c:numRef>
              <c:f>Population!$I$4:$I$13</c:f>
              <c:numCache>
                <c:formatCode>0%</c:formatCode>
                <c:ptCount val="10"/>
                <c:pt idx="0">
                  <c:v>0.47396968891252328</c:v>
                </c:pt>
                <c:pt idx="1">
                  <c:v>0.47086928695959218</c:v>
                </c:pt>
                <c:pt idx="2">
                  <c:v>0.47046789063953026</c:v>
                </c:pt>
                <c:pt idx="3">
                  <c:v>0.49228445209509841</c:v>
                </c:pt>
                <c:pt idx="4">
                  <c:v>0.51482592618432987</c:v>
                </c:pt>
                <c:pt idx="5">
                  <c:v>0.47096088664120084</c:v>
                </c:pt>
                <c:pt idx="6">
                  <c:v>0.48968145421874004</c:v>
                </c:pt>
                <c:pt idx="7">
                  <c:v>0.47842906065563995</c:v>
                </c:pt>
                <c:pt idx="8">
                  <c:v>0.47147919944708322</c:v>
                </c:pt>
                <c:pt idx="9">
                  <c:v>0.50616193944744881</c:v>
                </c:pt>
              </c:numCache>
            </c:numRef>
          </c:val>
          <c:extLst>
            <c:ext xmlns:c16="http://schemas.microsoft.com/office/drawing/2014/chart" uri="{C3380CC4-5D6E-409C-BE32-E72D297353CC}">
              <c16:uniqueId val="{00000001-2DDD-40E6-BDCB-EFDA07C827B2}"/>
            </c:ext>
          </c:extLst>
        </c:ser>
        <c:dLbls>
          <c:showLegendKey val="0"/>
          <c:showVal val="0"/>
          <c:showCatName val="0"/>
          <c:showSerName val="0"/>
          <c:showPercent val="0"/>
          <c:showBubbleSize val="0"/>
        </c:dLbls>
        <c:gapWidth val="150"/>
        <c:overlap val="100"/>
        <c:axId val="1603269407"/>
        <c:axId val="1603263647"/>
      </c:barChart>
      <c:catAx>
        <c:axId val="160326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03263647"/>
        <c:crosses val="autoZero"/>
        <c:auto val="1"/>
        <c:lblAlgn val="ctr"/>
        <c:lblOffset val="100"/>
        <c:noMultiLvlLbl val="0"/>
      </c:catAx>
      <c:valAx>
        <c:axId val="16032636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032694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[final.xlsx]Education!PivotTable1</c:name>
    <c:fmtId val="3"/>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IN" sz="1100" b="1" i="0" u="none" strike="noStrike" baseline="0"/>
              <a:t>Male vs Female Population by Age Group</a:t>
            </a:r>
            <a:endParaRPr lang="en-IN"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EA2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EA2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EA2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Education!$B$25</c:f>
              <c:strCache>
                <c:ptCount val="1"/>
                <c:pt idx="0">
                  <c:v>Sum of Male Population </c:v>
                </c:pt>
              </c:strCache>
            </c:strRef>
          </c:tx>
          <c:spPr>
            <a:solidFill>
              <a:schemeClr val="accent5">
                <a:lumMod val="60000"/>
                <a:lumOff val="40000"/>
              </a:schemeClr>
            </a:solidFill>
            <a:ln>
              <a:noFill/>
            </a:ln>
            <a:effectLst/>
          </c:spPr>
          <c:invertIfNegative val="0"/>
          <c:cat>
            <c:strRef>
              <c:f>Education!$A$26:$A$33</c:f>
              <c:strCache>
                <c:ptCount val="7"/>
                <c:pt idx="0">
                  <c:v>15-19</c:v>
                </c:pt>
                <c:pt idx="1">
                  <c:v>20-24</c:v>
                </c:pt>
                <c:pt idx="2">
                  <c:v>25-29</c:v>
                </c:pt>
                <c:pt idx="3">
                  <c:v>30-34</c:v>
                </c:pt>
                <c:pt idx="4">
                  <c:v>35-59</c:v>
                </c:pt>
                <c:pt idx="5">
                  <c:v>60+</c:v>
                </c:pt>
                <c:pt idx="6">
                  <c:v>Less than 15</c:v>
                </c:pt>
              </c:strCache>
            </c:strRef>
          </c:cat>
          <c:val>
            <c:numRef>
              <c:f>Education!$B$26:$B$33</c:f>
              <c:numCache>
                <c:formatCode>General</c:formatCode>
                <c:ptCount val="7"/>
                <c:pt idx="0">
                  <c:v>517301</c:v>
                </c:pt>
                <c:pt idx="1">
                  <c:v>457020</c:v>
                </c:pt>
                <c:pt idx="2">
                  <c:v>388923</c:v>
                </c:pt>
                <c:pt idx="3">
                  <c:v>331460</c:v>
                </c:pt>
                <c:pt idx="4">
                  <c:v>1156098</c:v>
                </c:pt>
                <c:pt idx="5">
                  <c:v>359386</c:v>
                </c:pt>
                <c:pt idx="6">
                  <c:v>1315045</c:v>
                </c:pt>
              </c:numCache>
            </c:numRef>
          </c:val>
          <c:extLst>
            <c:ext xmlns:c16="http://schemas.microsoft.com/office/drawing/2014/chart" uri="{C3380CC4-5D6E-409C-BE32-E72D297353CC}">
              <c16:uniqueId val="{00000000-6E67-41B4-BB68-58A86B7FB5FD}"/>
            </c:ext>
          </c:extLst>
        </c:ser>
        <c:ser>
          <c:idx val="1"/>
          <c:order val="1"/>
          <c:tx>
            <c:strRef>
              <c:f>Education!$C$25</c:f>
              <c:strCache>
                <c:ptCount val="1"/>
                <c:pt idx="0">
                  <c:v>Sum of Female Population</c:v>
                </c:pt>
              </c:strCache>
            </c:strRef>
          </c:tx>
          <c:spPr>
            <a:solidFill>
              <a:srgbClr val="EEA2DE"/>
            </a:solidFill>
            <a:ln>
              <a:noFill/>
            </a:ln>
            <a:effectLst/>
          </c:spPr>
          <c:invertIfNegative val="0"/>
          <c:cat>
            <c:strRef>
              <c:f>Education!$A$26:$A$33</c:f>
              <c:strCache>
                <c:ptCount val="7"/>
                <c:pt idx="0">
                  <c:v>15-19</c:v>
                </c:pt>
                <c:pt idx="1">
                  <c:v>20-24</c:v>
                </c:pt>
                <c:pt idx="2">
                  <c:v>25-29</c:v>
                </c:pt>
                <c:pt idx="3">
                  <c:v>30-34</c:v>
                </c:pt>
                <c:pt idx="4">
                  <c:v>35-59</c:v>
                </c:pt>
                <c:pt idx="5">
                  <c:v>60+</c:v>
                </c:pt>
                <c:pt idx="6">
                  <c:v>Less than 15</c:v>
                </c:pt>
              </c:strCache>
            </c:strRef>
          </c:cat>
          <c:val>
            <c:numRef>
              <c:f>Education!$C$26:$C$33</c:f>
              <c:numCache>
                <c:formatCode>General</c:formatCode>
                <c:ptCount val="7"/>
                <c:pt idx="0">
                  <c:v>276360</c:v>
                </c:pt>
                <c:pt idx="1">
                  <c:v>244128</c:v>
                </c:pt>
                <c:pt idx="2">
                  <c:v>197727</c:v>
                </c:pt>
                <c:pt idx="3">
                  <c:v>167275</c:v>
                </c:pt>
                <c:pt idx="4">
                  <c:v>601357</c:v>
                </c:pt>
                <c:pt idx="5">
                  <c:v>186010</c:v>
                </c:pt>
                <c:pt idx="6">
                  <c:v>688105</c:v>
                </c:pt>
              </c:numCache>
            </c:numRef>
          </c:val>
          <c:extLst>
            <c:ext xmlns:c16="http://schemas.microsoft.com/office/drawing/2014/chart" uri="{C3380CC4-5D6E-409C-BE32-E72D297353CC}">
              <c16:uniqueId val="{00000001-6E67-41B4-BB68-58A86B7FB5FD}"/>
            </c:ext>
          </c:extLst>
        </c:ser>
        <c:dLbls>
          <c:showLegendKey val="0"/>
          <c:showVal val="0"/>
          <c:showCatName val="0"/>
          <c:showSerName val="0"/>
          <c:showPercent val="0"/>
          <c:showBubbleSize val="0"/>
        </c:dLbls>
        <c:gapWidth val="219"/>
        <c:overlap val="-27"/>
        <c:axId val="1463597552"/>
        <c:axId val="1463591792"/>
      </c:barChart>
      <c:catAx>
        <c:axId val="146359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63591792"/>
        <c:crosses val="autoZero"/>
        <c:auto val="1"/>
        <c:lblAlgn val="ctr"/>
        <c:lblOffset val="100"/>
        <c:noMultiLvlLbl val="0"/>
      </c:catAx>
      <c:valAx>
        <c:axId val="146359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635975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[final.xlsx]Education!PivotTable19</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Urban vs Rural Education Share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5C93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dLbl>
          <c:idx val="0"/>
          <c:layout>
            <c:manualLayout>
              <c:x val="-0.10186759394518272"/>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D5C933"/>
          </a:solidFill>
          <a:ln w="19050">
            <a:solidFill>
              <a:schemeClr val="lt1"/>
            </a:solidFill>
          </a:ln>
          <a:effectLst/>
        </c:spPr>
        <c:dLbl>
          <c:idx val="0"/>
          <c:layout>
            <c:manualLayout>
              <c:x val="0.11816640897641195"/>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D5C93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D5C933"/>
          </a:solidFill>
          <a:ln w="19050">
            <a:solidFill>
              <a:schemeClr val="lt1"/>
            </a:solidFill>
          </a:ln>
          <a:effectLst/>
        </c:spPr>
        <c:dLbl>
          <c:idx val="0"/>
          <c:layout>
            <c:manualLayout>
              <c:x val="0.11816640897641195"/>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0000"/>
          </a:solidFill>
          <a:ln w="19050">
            <a:solidFill>
              <a:schemeClr val="lt1"/>
            </a:solidFill>
          </a:ln>
          <a:effectLst/>
        </c:spPr>
        <c:dLbl>
          <c:idx val="0"/>
          <c:layout>
            <c:manualLayout>
              <c:x val="-0.10186759394518272"/>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D5C93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D5C933"/>
          </a:solidFill>
          <a:ln w="19050">
            <a:solidFill>
              <a:schemeClr val="lt1"/>
            </a:solidFill>
          </a:ln>
          <a:effectLst/>
        </c:spPr>
        <c:dLbl>
          <c:idx val="0"/>
          <c:layout>
            <c:manualLayout>
              <c:x val="0.11816640897641195"/>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F0000"/>
          </a:solidFill>
          <a:ln w="19050">
            <a:solidFill>
              <a:schemeClr val="lt1"/>
            </a:solidFill>
          </a:ln>
          <a:effectLst/>
        </c:spPr>
        <c:dLbl>
          <c:idx val="0"/>
          <c:layout>
            <c:manualLayout>
              <c:x val="-0.10186759394518272"/>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Education!$G$25</c:f>
              <c:strCache>
                <c:ptCount val="1"/>
                <c:pt idx="0">
                  <c:v>Total</c:v>
                </c:pt>
              </c:strCache>
            </c:strRef>
          </c:tx>
          <c:spPr>
            <a:solidFill>
              <a:srgbClr val="D5C933"/>
            </a:solidFill>
          </c:spPr>
          <c:dPt>
            <c:idx val="0"/>
            <c:bubble3D val="0"/>
            <c:spPr>
              <a:solidFill>
                <a:srgbClr val="D5C933"/>
              </a:solidFill>
              <a:ln w="19050">
                <a:solidFill>
                  <a:schemeClr val="lt1"/>
                </a:solidFill>
              </a:ln>
              <a:effectLst/>
            </c:spPr>
            <c:extLst>
              <c:ext xmlns:c16="http://schemas.microsoft.com/office/drawing/2014/chart" uri="{C3380CC4-5D6E-409C-BE32-E72D297353CC}">
                <c16:uniqueId val="{00000001-67AB-4679-9687-784F552BDA89}"/>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67AB-4679-9687-784F552BDA89}"/>
              </c:ext>
            </c:extLst>
          </c:dPt>
          <c:dLbls>
            <c:dLbl>
              <c:idx val="0"/>
              <c:layout>
                <c:manualLayout>
                  <c:x val="0.11816640897641195"/>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7AB-4679-9687-784F552BDA89}"/>
                </c:ext>
              </c:extLst>
            </c:dLbl>
            <c:dLbl>
              <c:idx val="1"/>
              <c:layout>
                <c:manualLayout>
                  <c:x val="-0.10186759394518272"/>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7AB-4679-9687-784F552BDA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Education!$F$26:$F$27</c:f>
              <c:strCache>
                <c:ptCount val="2"/>
                <c:pt idx="0">
                  <c:v>Rural</c:v>
                </c:pt>
                <c:pt idx="1">
                  <c:v>Urban</c:v>
                </c:pt>
              </c:strCache>
            </c:strRef>
          </c:cat>
          <c:val>
            <c:numRef>
              <c:f>Education!$G$26:$G$27</c:f>
              <c:numCache>
                <c:formatCode>General</c:formatCode>
                <c:ptCount val="2"/>
                <c:pt idx="0">
                  <c:v>690455</c:v>
                </c:pt>
                <c:pt idx="1">
                  <c:v>1418784</c:v>
                </c:pt>
              </c:numCache>
            </c:numRef>
          </c:val>
          <c:extLst>
            <c:ext xmlns:c16="http://schemas.microsoft.com/office/drawing/2014/chart" uri="{C3380CC4-5D6E-409C-BE32-E72D297353CC}">
              <c16:uniqueId val="{00000004-67AB-4679-9687-784F552BDA8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[final.xlsx]Education!PivotTable20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Trend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52BAD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7091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52BAD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7091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52BAD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7091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Education!$J$25</c:f>
              <c:strCache>
                <c:ptCount val="1"/>
                <c:pt idx="0">
                  <c:v>Sum of Education Attendance Rate (Female)</c:v>
                </c:pt>
              </c:strCache>
            </c:strRef>
          </c:tx>
          <c:spPr>
            <a:ln w="28575" cap="rnd">
              <a:solidFill>
                <a:srgbClr val="52BAD2"/>
              </a:solidFill>
              <a:round/>
            </a:ln>
            <a:effectLst/>
          </c:spPr>
          <c:marker>
            <c:symbol val="none"/>
          </c:marker>
          <c:cat>
            <c:strRef>
              <c:f>Education!$I$26:$I$32</c:f>
              <c:strCache>
                <c:ptCount val="7"/>
                <c:pt idx="0">
                  <c:v>15-19</c:v>
                </c:pt>
                <c:pt idx="1">
                  <c:v>20-24</c:v>
                </c:pt>
                <c:pt idx="2">
                  <c:v>25-29</c:v>
                </c:pt>
                <c:pt idx="3">
                  <c:v>30-34</c:v>
                </c:pt>
                <c:pt idx="4">
                  <c:v>35-59</c:v>
                </c:pt>
                <c:pt idx="5">
                  <c:v>60+</c:v>
                </c:pt>
                <c:pt idx="6">
                  <c:v>Less than 15</c:v>
                </c:pt>
              </c:strCache>
            </c:strRef>
          </c:cat>
          <c:val>
            <c:numRef>
              <c:f>Education!$J$26:$J$32</c:f>
              <c:numCache>
                <c:formatCode>0%</c:formatCode>
                <c:ptCount val="7"/>
                <c:pt idx="0">
                  <c:v>1.2340297525340815</c:v>
                </c:pt>
                <c:pt idx="1">
                  <c:v>0.71278514384961977</c:v>
                </c:pt>
                <c:pt idx="2">
                  <c:v>0.18979775593102546</c:v>
                </c:pt>
                <c:pt idx="3">
                  <c:v>9.6018709995076307E-2</c:v>
                </c:pt>
                <c:pt idx="4">
                  <c:v>6.778722722581125E-2</c:v>
                </c:pt>
                <c:pt idx="5">
                  <c:v>7.3420166597065559E-2</c:v>
                </c:pt>
                <c:pt idx="6">
                  <c:v>1.1428603973460394</c:v>
                </c:pt>
              </c:numCache>
            </c:numRef>
          </c:val>
          <c:smooth val="0"/>
          <c:extLst>
            <c:ext xmlns:c16="http://schemas.microsoft.com/office/drawing/2014/chart" uri="{C3380CC4-5D6E-409C-BE32-E72D297353CC}">
              <c16:uniqueId val="{00000000-5A12-43C3-BBA1-484A19E6C761}"/>
            </c:ext>
          </c:extLst>
        </c:ser>
        <c:ser>
          <c:idx val="1"/>
          <c:order val="1"/>
          <c:tx>
            <c:strRef>
              <c:f>Education!$K$25</c:f>
              <c:strCache>
                <c:ptCount val="1"/>
                <c:pt idx="0">
                  <c:v>Sum of Education Attendance Rate (Male)</c:v>
                </c:pt>
              </c:strCache>
            </c:strRef>
          </c:tx>
          <c:spPr>
            <a:ln w="28575" cap="rnd">
              <a:solidFill>
                <a:srgbClr val="C7091B"/>
              </a:solidFill>
              <a:round/>
            </a:ln>
            <a:effectLst/>
          </c:spPr>
          <c:marker>
            <c:symbol val="none"/>
          </c:marker>
          <c:cat>
            <c:strRef>
              <c:f>Education!$I$26:$I$32</c:f>
              <c:strCache>
                <c:ptCount val="7"/>
                <c:pt idx="0">
                  <c:v>15-19</c:v>
                </c:pt>
                <c:pt idx="1">
                  <c:v>20-24</c:v>
                </c:pt>
                <c:pt idx="2">
                  <c:v>25-29</c:v>
                </c:pt>
                <c:pt idx="3">
                  <c:v>30-34</c:v>
                </c:pt>
                <c:pt idx="4">
                  <c:v>35-59</c:v>
                </c:pt>
                <c:pt idx="5">
                  <c:v>60+</c:v>
                </c:pt>
                <c:pt idx="6">
                  <c:v>Less than 15</c:v>
                </c:pt>
              </c:strCache>
            </c:strRef>
          </c:cat>
          <c:val>
            <c:numRef>
              <c:f>Education!$K$26:$K$32</c:f>
              <c:numCache>
                <c:formatCode>0%</c:formatCode>
                <c:ptCount val="7"/>
                <c:pt idx="0">
                  <c:v>1.2506370181179078</c:v>
                </c:pt>
                <c:pt idx="1">
                  <c:v>0.67770999688995337</c:v>
                </c:pt>
                <c:pt idx="2">
                  <c:v>0.17250785856710626</c:v>
                </c:pt>
                <c:pt idx="3">
                  <c:v>8.8704247058612212E-2</c:v>
                </c:pt>
                <c:pt idx="4">
                  <c:v>6.2256115863002275E-2</c:v>
                </c:pt>
                <c:pt idx="5">
                  <c:v>6.4805274153127118E-2</c:v>
                </c:pt>
                <c:pt idx="6">
                  <c:v>1.1406009419875929</c:v>
                </c:pt>
              </c:numCache>
            </c:numRef>
          </c:val>
          <c:smooth val="0"/>
          <c:extLst>
            <c:ext xmlns:c16="http://schemas.microsoft.com/office/drawing/2014/chart" uri="{C3380CC4-5D6E-409C-BE32-E72D297353CC}">
              <c16:uniqueId val="{00000001-5A12-43C3-BBA1-484A19E6C761}"/>
            </c:ext>
          </c:extLst>
        </c:ser>
        <c:dLbls>
          <c:showLegendKey val="0"/>
          <c:showVal val="0"/>
          <c:showCatName val="0"/>
          <c:showSerName val="0"/>
          <c:showPercent val="0"/>
          <c:showBubbleSize val="0"/>
        </c:dLbls>
        <c:smooth val="0"/>
        <c:axId val="2133088080"/>
        <c:axId val="2133077040"/>
      </c:lineChart>
      <c:catAx>
        <c:axId val="213308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3077040"/>
        <c:crosses val="autoZero"/>
        <c:auto val="1"/>
        <c:lblAlgn val="ctr"/>
        <c:lblOffset val="100"/>
        <c:noMultiLvlLbl val="0"/>
      </c:catAx>
      <c:valAx>
        <c:axId val="21330770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3088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Relationship Between Gender Ratio and Education Rate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Education!$L$3</c:f>
              <c:strCache>
                <c:ptCount val="1"/>
                <c:pt idx="0">
                  <c:v>Overall Education Attendance Rate</c:v>
                </c:pt>
              </c:strCache>
            </c:strRef>
          </c:tx>
          <c:spPr>
            <a:ln w="19050" cap="rnd">
              <a:noFill/>
              <a:round/>
            </a:ln>
            <a:effectLst/>
          </c:spPr>
          <c:marker>
            <c:symbol val="circle"/>
            <c:size val="5"/>
            <c:spPr>
              <a:solidFill>
                <a:schemeClr val="accent1"/>
              </a:solidFill>
              <a:ln w="9525">
                <a:solidFill>
                  <a:schemeClr val="accent1"/>
                </a:solidFill>
              </a:ln>
              <a:effectLst/>
            </c:spPr>
          </c:marker>
          <c:xVal>
            <c:strRef>
              <c:f>Education!$A$4:$A$17</c:f>
              <c:strCache>
                <c:ptCount val="14"/>
                <c:pt idx="0">
                  <c:v>Lucknow</c:v>
                </c:pt>
                <c:pt idx="1">
                  <c:v>Lucknow</c:v>
                </c:pt>
                <c:pt idx="2">
                  <c:v>Lucknow</c:v>
                </c:pt>
                <c:pt idx="3">
                  <c:v>Lucknow</c:v>
                </c:pt>
                <c:pt idx="4">
                  <c:v>Lucknow</c:v>
                </c:pt>
                <c:pt idx="5">
                  <c:v>Lucknow</c:v>
                </c:pt>
                <c:pt idx="6">
                  <c:v>Lucknow</c:v>
                </c:pt>
                <c:pt idx="7">
                  <c:v>Lucknow</c:v>
                </c:pt>
                <c:pt idx="8">
                  <c:v>Lucknow</c:v>
                </c:pt>
                <c:pt idx="9">
                  <c:v>Lucknow</c:v>
                </c:pt>
                <c:pt idx="10">
                  <c:v>Lucknow</c:v>
                </c:pt>
                <c:pt idx="11">
                  <c:v>Lucknow</c:v>
                </c:pt>
                <c:pt idx="12">
                  <c:v>Lucknow</c:v>
                </c:pt>
                <c:pt idx="13">
                  <c:v>Lucknow</c:v>
                </c:pt>
              </c:strCache>
            </c:strRef>
          </c:xVal>
          <c:yVal>
            <c:numRef>
              <c:f>Education!$L$4:$L$17</c:f>
              <c:numCache>
                <c:formatCode>0%</c:formatCode>
                <c:ptCount val="14"/>
                <c:pt idx="0">
                  <c:v>0.55867994032940604</c:v>
                </c:pt>
                <c:pt idx="1">
                  <c:v>0.54973122466710278</c:v>
                </c:pt>
                <c:pt idx="2">
                  <c:v>0.24133389796592661</c:v>
                </c:pt>
                <c:pt idx="3">
                  <c:v>4.0351344465803553E-2</c:v>
                </c:pt>
                <c:pt idx="4">
                  <c:v>2.0339631603947854E-2</c:v>
                </c:pt>
                <c:pt idx="5">
                  <c:v>1.5384954440179194E-2</c:v>
                </c:pt>
                <c:pt idx="6">
                  <c:v>1.6951963390807279E-2</c:v>
                </c:pt>
                <c:pt idx="7">
                  <c:v>0.58269168129613569</c:v>
                </c:pt>
                <c:pt idx="8">
                  <c:v>0.69512716985169132</c:v>
                </c:pt>
                <c:pt idx="9">
                  <c:v>0.44875056297158511</c:v>
                </c:pt>
                <c:pt idx="10">
                  <c:v>0.13800484125795401</c:v>
                </c:pt>
                <c:pt idx="11">
                  <c:v>7.0817694485811974E-2</c:v>
                </c:pt>
                <c:pt idx="12">
                  <c:v>4.8760620218368619E-2</c:v>
                </c:pt>
                <c:pt idx="13">
                  <c:v>5.0814467184392191E-2</c:v>
                </c:pt>
              </c:numCache>
            </c:numRef>
          </c:yVal>
          <c:smooth val="0"/>
          <c:extLst>
            <c:ext xmlns:c16="http://schemas.microsoft.com/office/drawing/2014/chart" uri="{C3380CC4-5D6E-409C-BE32-E72D297353CC}">
              <c16:uniqueId val="{00000000-C4CD-4114-A54D-1F78DE6C2C8D}"/>
            </c:ext>
          </c:extLst>
        </c:ser>
        <c:ser>
          <c:idx val="1"/>
          <c:order val="1"/>
          <c:tx>
            <c:strRef>
              <c:f>Education!$N$3</c:f>
              <c:strCache>
                <c:ptCount val="1"/>
                <c:pt idx="0">
                  <c:v>Male–Female Population Ratio</c:v>
                </c:pt>
              </c:strCache>
            </c:strRef>
          </c:tx>
          <c:spPr>
            <a:ln w="19050" cap="rnd">
              <a:noFill/>
              <a:round/>
            </a:ln>
            <a:effectLst/>
          </c:spPr>
          <c:marker>
            <c:symbol val="circle"/>
            <c:size val="5"/>
            <c:spPr>
              <a:solidFill>
                <a:schemeClr val="accent2"/>
              </a:solidFill>
              <a:ln w="9525">
                <a:solidFill>
                  <a:schemeClr val="accent2"/>
                </a:solidFill>
              </a:ln>
              <a:effectLst/>
            </c:spPr>
          </c:marker>
          <c:xVal>
            <c:strRef>
              <c:f>Education!$A$4:$A$17</c:f>
              <c:strCache>
                <c:ptCount val="14"/>
                <c:pt idx="0">
                  <c:v>Lucknow</c:v>
                </c:pt>
                <c:pt idx="1">
                  <c:v>Lucknow</c:v>
                </c:pt>
                <c:pt idx="2">
                  <c:v>Lucknow</c:v>
                </c:pt>
                <c:pt idx="3">
                  <c:v>Lucknow</c:v>
                </c:pt>
                <c:pt idx="4">
                  <c:v>Lucknow</c:v>
                </c:pt>
                <c:pt idx="5">
                  <c:v>Lucknow</c:v>
                </c:pt>
                <c:pt idx="6">
                  <c:v>Lucknow</c:v>
                </c:pt>
                <c:pt idx="7">
                  <c:v>Lucknow</c:v>
                </c:pt>
                <c:pt idx="8">
                  <c:v>Lucknow</c:v>
                </c:pt>
                <c:pt idx="9">
                  <c:v>Lucknow</c:v>
                </c:pt>
                <c:pt idx="10">
                  <c:v>Lucknow</c:v>
                </c:pt>
                <c:pt idx="11">
                  <c:v>Lucknow</c:v>
                </c:pt>
                <c:pt idx="12">
                  <c:v>Lucknow</c:v>
                </c:pt>
                <c:pt idx="13">
                  <c:v>Lucknow</c:v>
                </c:pt>
              </c:strCache>
            </c:strRef>
          </c:xVal>
          <c:yVal>
            <c:numRef>
              <c:f>Education!$N$4:$N$17</c:f>
              <c:numCache>
                <c:formatCode>General</c:formatCode>
                <c:ptCount val="14"/>
                <c:pt idx="0">
                  <c:v>1.9230695300236003</c:v>
                </c:pt>
                <c:pt idx="1">
                  <c:v>1.866243365246292</c:v>
                </c:pt>
                <c:pt idx="2">
                  <c:v>1.8060354395999008</c:v>
                </c:pt>
                <c:pt idx="3">
                  <c:v>1.9065634466509593</c:v>
                </c:pt>
                <c:pt idx="4">
                  <c:v>1.9852486459871985</c:v>
                </c:pt>
                <c:pt idx="5">
                  <c:v>1.8923155375530947</c:v>
                </c:pt>
                <c:pt idx="6">
                  <c:v>1.9794327007705017</c:v>
                </c:pt>
                <c:pt idx="7">
                  <c:v>1.9028601882232745</c:v>
                </c:pt>
                <c:pt idx="8">
                  <c:v>1.8750491271039216</c:v>
                </c:pt>
                <c:pt idx="9">
                  <c:v>1.9022244504527088</c:v>
                </c:pt>
                <c:pt idx="10">
                  <c:v>1.9929215441011663</c:v>
                </c:pt>
                <c:pt idx="11">
                  <c:v>1.9799055793991416</c:v>
                </c:pt>
                <c:pt idx="12">
                  <c:v>1.9346227039935819</c:v>
                </c:pt>
                <c:pt idx="13">
                  <c:v>1.9067853225234439</c:v>
                </c:pt>
              </c:numCache>
            </c:numRef>
          </c:yVal>
          <c:smooth val="0"/>
          <c:extLst>
            <c:ext xmlns:c16="http://schemas.microsoft.com/office/drawing/2014/chart" uri="{C3380CC4-5D6E-409C-BE32-E72D297353CC}">
              <c16:uniqueId val="{00000001-C4CD-4114-A54D-1F78DE6C2C8D}"/>
            </c:ext>
          </c:extLst>
        </c:ser>
        <c:dLbls>
          <c:showLegendKey val="0"/>
          <c:showVal val="0"/>
          <c:showCatName val="0"/>
          <c:showSerName val="0"/>
          <c:showPercent val="0"/>
          <c:showBubbleSize val="0"/>
        </c:dLbls>
        <c:axId val="951156144"/>
        <c:axId val="951140304"/>
      </c:scatterChart>
      <c:valAx>
        <c:axId val="9511561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Male-</a:t>
                </a:r>
                <a:r>
                  <a:rPr lang="en-IN" b="1" baseline="0"/>
                  <a:t> Female Ratio</a:t>
                </a:r>
                <a:endParaRPr lang="en-IN"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140304"/>
        <c:crosses val="autoZero"/>
        <c:crossBetween val="midCat"/>
      </c:valAx>
      <c:valAx>
        <c:axId val="951140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IN" sz="1050" b="1"/>
                  <a:t> Overal</a:t>
                </a:r>
                <a:r>
                  <a:rPr lang="en-IN" sz="1050" b="1" baseline="0"/>
                  <a:t> Education Rate</a:t>
                </a:r>
                <a:endParaRPr lang="en-IN" sz="1050" b="1"/>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11561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[final.xlsx]Surviving Children !PivotTable3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a:t>
            </a:r>
            <a:r>
              <a:rPr lang="en-IN" b="1" baseline="0"/>
              <a:t> Surviving Children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gradFill>
            <a:gsLst>
              <a:gs pos="0">
                <a:srgbClr val="002060"/>
              </a:gs>
              <a:gs pos="91000">
                <a:srgbClr val="00B0F0"/>
              </a:gs>
              <a:gs pos="69000">
                <a:srgbClr val="0070C0"/>
              </a:gs>
              <a:gs pos="100000">
                <a:schemeClr val="accent1">
                  <a:lumMod val="30000"/>
                  <a:lumOff val="7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2">
                  <a:lumMod val="75000"/>
                </a:schemeClr>
              </a:gs>
              <a:gs pos="91000">
                <a:schemeClr val="accent4">
                  <a:lumMod val="60000"/>
                  <a:lumOff val="40000"/>
                </a:schemeClr>
              </a:gs>
              <a:gs pos="69000">
                <a:schemeClr val="accent2">
                  <a:lumMod val="60000"/>
                  <a:lumOff val="40000"/>
                </a:schemeClr>
              </a:gs>
              <a:gs pos="100000">
                <a:schemeClr val="accent1">
                  <a:lumMod val="30000"/>
                  <a:lumOff val="70000"/>
                </a:schemeClr>
              </a:gs>
            </a:gsLst>
            <a:lin ang="5400000" scaled="1"/>
          </a:gradFill>
          <a:ln w="19050">
            <a:solidFill>
              <a:schemeClr val="lt1"/>
            </a:solidFill>
          </a:ln>
          <a:effectLst/>
        </c:spPr>
      </c:pivotFmt>
      <c:pivotFmt>
        <c:idx val="2"/>
        <c:spPr>
          <a:gradFill>
            <a:gsLst>
              <a:gs pos="0">
                <a:schemeClr val="accent6">
                  <a:lumMod val="75000"/>
                </a:schemeClr>
              </a:gs>
              <a:gs pos="91000">
                <a:schemeClr val="accent6">
                  <a:lumMod val="40000"/>
                  <a:lumOff val="60000"/>
                </a:schemeClr>
              </a:gs>
              <a:gs pos="69000">
                <a:schemeClr val="accent6">
                  <a:lumMod val="40000"/>
                  <a:lumOff val="60000"/>
                </a:schemeClr>
              </a:gs>
              <a:gs pos="100000">
                <a:schemeClr val="accent1">
                  <a:lumMod val="30000"/>
                  <a:lumOff val="70000"/>
                </a:schemeClr>
              </a:gs>
            </a:gsLst>
            <a:lin ang="5400000" scaled="1"/>
          </a:gradFill>
          <a:ln w="19050">
            <a:solidFill>
              <a:schemeClr val="lt1"/>
            </a:solidFill>
          </a:ln>
          <a:effectLst/>
        </c:spP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gradFill>
            <a:gsLst>
              <a:gs pos="0">
                <a:srgbClr val="002060"/>
              </a:gs>
              <a:gs pos="91000">
                <a:srgbClr val="00B0F0"/>
              </a:gs>
              <a:gs pos="69000">
                <a:srgbClr val="0070C0"/>
              </a:gs>
              <a:gs pos="100000">
                <a:schemeClr val="accent1">
                  <a:lumMod val="30000"/>
                  <a:lumOff val="7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chemeClr val="accent2">
                  <a:lumMod val="75000"/>
                </a:schemeClr>
              </a:gs>
              <a:gs pos="91000">
                <a:schemeClr val="accent4">
                  <a:lumMod val="60000"/>
                  <a:lumOff val="40000"/>
                </a:schemeClr>
              </a:gs>
              <a:gs pos="69000">
                <a:schemeClr val="accent2">
                  <a:lumMod val="60000"/>
                  <a:lumOff val="40000"/>
                </a:schemeClr>
              </a:gs>
              <a:gs pos="100000">
                <a:schemeClr val="accent1">
                  <a:lumMod val="30000"/>
                  <a:lumOff val="70000"/>
                </a:schemeClr>
              </a:gs>
            </a:gsLst>
            <a:lin ang="5400000" scaled="1"/>
          </a:gradFill>
          <a:ln w="19050">
            <a:solidFill>
              <a:schemeClr val="lt1"/>
            </a:solidFill>
          </a:ln>
          <a:effectLst/>
        </c:spPr>
      </c:pivotFmt>
      <c:pivotFmt>
        <c:idx val="8"/>
        <c:spPr>
          <a:gradFill>
            <a:gsLst>
              <a:gs pos="0">
                <a:schemeClr val="accent6">
                  <a:lumMod val="75000"/>
                </a:schemeClr>
              </a:gs>
              <a:gs pos="91000">
                <a:schemeClr val="accent6">
                  <a:lumMod val="40000"/>
                  <a:lumOff val="60000"/>
                </a:schemeClr>
              </a:gs>
              <a:gs pos="69000">
                <a:schemeClr val="accent6">
                  <a:lumMod val="40000"/>
                  <a:lumOff val="60000"/>
                </a:schemeClr>
              </a:gs>
              <a:gs pos="100000">
                <a:schemeClr val="accent1">
                  <a:lumMod val="30000"/>
                  <a:lumOff val="70000"/>
                </a:schemeClr>
              </a:gs>
            </a:gsLst>
            <a:lin ang="5400000" scaled="1"/>
          </a:gra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solidFill>
              <a:srgbClr val="A5A5A5">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2.9690274331121459E-2"/>
              <c:y val="-0.18867348345227905"/>
            </c:manualLayout>
          </c:layout>
          <c:spPr>
            <a:solidFill>
              <a:srgbClr val="A5A5A5">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9.8967581103737906E-2"/>
              <c:y val="0.1415051125892092"/>
            </c:manualLayout>
          </c:layout>
          <c:spPr>
            <a:solidFill>
              <a:srgbClr val="A5A5A5">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a:gsLst>
              <a:gs pos="0">
                <a:srgbClr val="002060"/>
              </a:gs>
              <a:gs pos="91000">
                <a:srgbClr val="00B0F0"/>
              </a:gs>
              <a:gs pos="69000">
                <a:srgbClr val="0070C0"/>
              </a:gs>
              <a:gs pos="100000">
                <a:schemeClr val="accent1">
                  <a:lumMod val="30000"/>
                  <a:lumOff val="7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a:gsLst>
              <a:gs pos="0">
                <a:schemeClr val="accent2">
                  <a:lumMod val="75000"/>
                </a:schemeClr>
              </a:gs>
              <a:gs pos="91000">
                <a:schemeClr val="accent4">
                  <a:lumMod val="60000"/>
                  <a:lumOff val="40000"/>
                </a:schemeClr>
              </a:gs>
              <a:gs pos="69000">
                <a:schemeClr val="accent2">
                  <a:lumMod val="60000"/>
                  <a:lumOff val="40000"/>
                </a:schemeClr>
              </a:gs>
              <a:gs pos="100000">
                <a:schemeClr val="accent1">
                  <a:lumMod val="30000"/>
                  <a:lumOff val="70000"/>
                </a:schemeClr>
              </a:gs>
            </a:gsLst>
            <a:lin ang="5400000" scaled="1"/>
          </a:gradFill>
          <a:ln w="19050">
            <a:solidFill>
              <a:schemeClr val="lt1"/>
            </a:solidFill>
          </a:ln>
          <a:effectLst/>
        </c:spPr>
      </c:pivotFmt>
      <c:pivotFmt>
        <c:idx val="14"/>
        <c:spPr>
          <a:gradFill>
            <a:gsLst>
              <a:gs pos="0">
                <a:schemeClr val="accent6">
                  <a:lumMod val="75000"/>
                </a:schemeClr>
              </a:gs>
              <a:gs pos="91000">
                <a:schemeClr val="accent6">
                  <a:lumMod val="40000"/>
                  <a:lumOff val="60000"/>
                </a:schemeClr>
              </a:gs>
              <a:gs pos="69000">
                <a:schemeClr val="accent6">
                  <a:lumMod val="40000"/>
                  <a:lumOff val="60000"/>
                </a:schemeClr>
              </a:gs>
              <a:gs pos="100000">
                <a:schemeClr val="accent1">
                  <a:lumMod val="30000"/>
                  <a:lumOff val="70000"/>
                </a:schemeClr>
              </a:gs>
            </a:gsLst>
            <a:lin ang="5400000" scaled="1"/>
          </a:gra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solidFill>
              <a:srgbClr val="A5A5A5">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2.9690274331121459E-2"/>
              <c:y val="-0.18867348345227905"/>
            </c:manualLayout>
          </c:layout>
          <c:spPr>
            <a:solidFill>
              <a:srgbClr val="A5A5A5">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9.8967581103737906E-2"/>
              <c:y val="0.1415051125892092"/>
            </c:manualLayout>
          </c:layout>
          <c:spPr>
            <a:solidFill>
              <a:srgbClr val="A5A5A5">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6054893054965783"/>
          <c:y val="0.26346468174775756"/>
          <c:w val="0.65376428452928159"/>
          <c:h val="0.70406925686256472"/>
        </c:manualLayout>
      </c:layout>
      <c:doughnutChart>
        <c:varyColors val="1"/>
        <c:ser>
          <c:idx val="0"/>
          <c:order val="0"/>
          <c:tx>
            <c:strRef>
              <c:f>'Surviving Children '!$F$92</c:f>
              <c:strCache>
                <c:ptCount val="1"/>
                <c:pt idx="0">
                  <c:v>Sum of Total Surviving Children</c:v>
                </c:pt>
              </c:strCache>
            </c:strRef>
          </c:tx>
          <c:spPr>
            <a:gradFill>
              <a:gsLst>
                <a:gs pos="0">
                  <a:srgbClr val="002060"/>
                </a:gs>
                <a:gs pos="91000">
                  <a:srgbClr val="00B0F0"/>
                </a:gs>
                <a:gs pos="69000">
                  <a:srgbClr val="0070C0"/>
                </a:gs>
                <a:gs pos="100000">
                  <a:schemeClr val="accent1">
                    <a:lumMod val="30000"/>
                    <a:lumOff val="70000"/>
                  </a:schemeClr>
                </a:gs>
              </a:gsLst>
              <a:lin ang="5400000" scaled="1"/>
            </a:gradFill>
          </c:spPr>
          <c:dPt>
            <c:idx val="0"/>
            <c:bubble3D val="0"/>
            <c:spPr>
              <a:gradFill>
                <a:gsLst>
                  <a:gs pos="0">
                    <a:schemeClr val="accent2">
                      <a:lumMod val="75000"/>
                    </a:schemeClr>
                  </a:gs>
                  <a:gs pos="91000">
                    <a:schemeClr val="accent4">
                      <a:lumMod val="60000"/>
                      <a:lumOff val="40000"/>
                    </a:schemeClr>
                  </a:gs>
                  <a:gs pos="69000">
                    <a:schemeClr val="accent2">
                      <a:lumMod val="60000"/>
                      <a:lumOff val="40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1-11CA-45FC-8BAC-95CFECAADD58}"/>
              </c:ext>
            </c:extLst>
          </c:dPt>
          <c:dPt>
            <c:idx val="1"/>
            <c:bubble3D val="0"/>
            <c:spPr>
              <a:gradFill>
                <a:gsLst>
                  <a:gs pos="0">
                    <a:schemeClr val="accent6">
                      <a:lumMod val="75000"/>
                    </a:schemeClr>
                  </a:gs>
                  <a:gs pos="91000">
                    <a:schemeClr val="accent6">
                      <a:lumMod val="40000"/>
                      <a:lumOff val="60000"/>
                    </a:schemeClr>
                  </a:gs>
                  <a:gs pos="69000">
                    <a:schemeClr val="accent6">
                      <a:lumMod val="40000"/>
                      <a:lumOff val="60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3-11CA-45FC-8BAC-95CFECAADD58}"/>
              </c:ext>
            </c:extLst>
          </c:dPt>
          <c:cat>
            <c:strRef>
              <c:f>'Surviving Children '!$E$93:$E$95</c:f>
              <c:strCache>
                <c:ptCount val="2"/>
                <c:pt idx="0">
                  <c:v>Rural</c:v>
                </c:pt>
                <c:pt idx="1">
                  <c:v>Urban</c:v>
                </c:pt>
              </c:strCache>
            </c:strRef>
          </c:cat>
          <c:val>
            <c:numRef>
              <c:f>'Surviving Children '!$F$93:$F$95</c:f>
              <c:numCache>
                <c:formatCode>#,##0</c:formatCode>
                <c:ptCount val="2"/>
                <c:pt idx="0">
                  <c:v>1017744</c:v>
                </c:pt>
                <c:pt idx="1">
                  <c:v>1703349</c:v>
                </c:pt>
              </c:numCache>
            </c:numRef>
          </c:val>
          <c:extLst>
            <c:ext xmlns:c16="http://schemas.microsoft.com/office/drawing/2014/chart" uri="{C3380CC4-5D6E-409C-BE32-E72D297353CC}">
              <c16:uniqueId val="{00000004-11CA-45FC-8BAC-95CFECAADD58}"/>
            </c:ext>
          </c:extLst>
        </c:ser>
        <c:ser>
          <c:idx val="1"/>
          <c:order val="1"/>
          <c:tx>
            <c:strRef>
              <c:f>'Surviving Children '!$G$92</c:f>
              <c:strCache>
                <c:ptCount val="1"/>
                <c:pt idx="0">
                  <c:v>Percentage of Total Surviving Children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11CA-45FC-8BAC-95CFECAADD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11CA-45FC-8BAC-95CFECAADD58}"/>
              </c:ext>
            </c:extLst>
          </c:dPt>
          <c:dLbls>
            <c:dLbl>
              <c:idx val="0"/>
              <c:layout>
                <c:manualLayout>
                  <c:x val="2.9690274331121459E-2"/>
                  <c:y val="-0.1886734834522790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11CA-45FC-8BAC-95CFECAADD58}"/>
                </c:ext>
              </c:extLst>
            </c:dLbl>
            <c:dLbl>
              <c:idx val="1"/>
              <c:layout>
                <c:manualLayout>
                  <c:x val="-9.8967581103737906E-2"/>
                  <c:y val="0.141505112589209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11CA-45FC-8BAC-95CFECAADD58}"/>
                </c:ext>
              </c:extLst>
            </c:dLbl>
            <c:spPr>
              <a:solidFill>
                <a:srgbClr val="A5A5A5">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'Surviving Children '!$E$93:$E$95</c:f>
              <c:strCache>
                <c:ptCount val="2"/>
                <c:pt idx="0">
                  <c:v>Rural</c:v>
                </c:pt>
                <c:pt idx="1">
                  <c:v>Urban</c:v>
                </c:pt>
              </c:strCache>
            </c:strRef>
          </c:cat>
          <c:val>
            <c:numRef>
              <c:f>'Surviving Children '!$G$93:$G$95</c:f>
              <c:numCache>
                <c:formatCode>0.00%</c:formatCode>
                <c:ptCount val="2"/>
                <c:pt idx="0">
                  <c:v>0.3740202925809592</c:v>
                </c:pt>
                <c:pt idx="1">
                  <c:v>0.62597970741904085</c:v>
                </c:pt>
              </c:numCache>
            </c:numRef>
          </c:val>
          <c:extLst>
            <c:ext xmlns:c16="http://schemas.microsoft.com/office/drawing/2014/chart" uri="{C3380CC4-5D6E-409C-BE32-E72D297353CC}">
              <c16:uniqueId val="{00000009-11CA-45FC-8BAC-95CFECAADD5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Population</a:t>
            </a:r>
            <a:r>
              <a:rPr lang="en-IN" sz="1800" b="1" baseline="0"/>
              <a:t> by Age Group</a:t>
            </a:r>
          </a:p>
          <a:p>
            <a:pPr>
              <a:defRPr sz="1800" b="1"/>
            </a:pPr>
            <a:endParaRPr lang="en-IN"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Population!$B$4:$C$4</c:f>
              <c:strCache>
                <c:ptCount val="2"/>
                <c:pt idx="0">
                  <c:v>Rural</c:v>
                </c:pt>
                <c:pt idx="1">
                  <c:v>0-19</c:v>
                </c:pt>
              </c:strCache>
            </c:strRef>
          </c:tx>
          <c:spPr>
            <a:solidFill>
              <a:schemeClr val="accent1"/>
            </a:solidFill>
            <a:ln>
              <a:noFill/>
            </a:ln>
            <a:effectLst/>
          </c:spPr>
          <c:invertIfNegative val="0"/>
          <c:cat>
            <c:strRef>
              <c:f>Population!$F$3</c:f>
              <c:strCache>
                <c:ptCount val="1"/>
                <c:pt idx="0">
                  <c:v>Total Population</c:v>
                </c:pt>
              </c:strCache>
            </c:strRef>
          </c:cat>
          <c:val>
            <c:numRef>
              <c:f>Population!$F$4</c:f>
              <c:numCache>
                <c:formatCode>General</c:formatCode>
                <c:ptCount val="1"/>
                <c:pt idx="0">
                  <c:v>582955</c:v>
                </c:pt>
              </c:numCache>
            </c:numRef>
          </c:val>
          <c:extLst>
            <c:ext xmlns:c16="http://schemas.microsoft.com/office/drawing/2014/chart" uri="{C3380CC4-5D6E-409C-BE32-E72D297353CC}">
              <c16:uniqueId val="{00000000-EF1F-4485-87F1-EC9BD7514091}"/>
            </c:ext>
          </c:extLst>
        </c:ser>
        <c:ser>
          <c:idx val="1"/>
          <c:order val="1"/>
          <c:tx>
            <c:strRef>
              <c:f>Population!$B$5:$C$5</c:f>
              <c:strCache>
                <c:ptCount val="2"/>
                <c:pt idx="0">
                  <c:v>Rural</c:v>
                </c:pt>
                <c:pt idx="1">
                  <c:v>20-39</c:v>
                </c:pt>
              </c:strCache>
            </c:strRef>
          </c:tx>
          <c:spPr>
            <a:solidFill>
              <a:schemeClr val="accent2"/>
            </a:solidFill>
            <a:ln>
              <a:noFill/>
            </a:ln>
            <a:effectLst/>
          </c:spPr>
          <c:invertIfNegative val="0"/>
          <c:cat>
            <c:strRef>
              <c:f>Population!$F$3</c:f>
              <c:strCache>
                <c:ptCount val="1"/>
                <c:pt idx="0">
                  <c:v>Total Population</c:v>
                </c:pt>
              </c:strCache>
            </c:strRef>
          </c:cat>
          <c:val>
            <c:numRef>
              <c:f>Population!$F$5</c:f>
              <c:numCache>
                <c:formatCode>General</c:formatCode>
                <c:ptCount val="1"/>
                <c:pt idx="0">
                  <c:v>453130</c:v>
                </c:pt>
              </c:numCache>
            </c:numRef>
          </c:val>
          <c:extLst>
            <c:ext xmlns:c16="http://schemas.microsoft.com/office/drawing/2014/chart" uri="{C3380CC4-5D6E-409C-BE32-E72D297353CC}">
              <c16:uniqueId val="{00000001-EF1F-4485-87F1-EC9BD7514091}"/>
            </c:ext>
          </c:extLst>
        </c:ser>
        <c:ser>
          <c:idx val="2"/>
          <c:order val="2"/>
          <c:tx>
            <c:strRef>
              <c:f>Population!$B$6:$C$6</c:f>
              <c:strCache>
                <c:ptCount val="2"/>
                <c:pt idx="0">
                  <c:v>Rural</c:v>
                </c:pt>
                <c:pt idx="1">
                  <c:v>40-59</c:v>
                </c:pt>
              </c:strCache>
            </c:strRef>
          </c:tx>
          <c:spPr>
            <a:solidFill>
              <a:schemeClr val="accent3"/>
            </a:solidFill>
            <a:ln>
              <a:noFill/>
            </a:ln>
            <a:effectLst/>
          </c:spPr>
          <c:invertIfNegative val="0"/>
          <c:cat>
            <c:strRef>
              <c:f>Population!$F$3</c:f>
              <c:strCache>
                <c:ptCount val="1"/>
                <c:pt idx="0">
                  <c:v>Total Population</c:v>
                </c:pt>
              </c:strCache>
            </c:strRef>
          </c:cat>
          <c:val>
            <c:numRef>
              <c:f>Population!$F$6</c:f>
              <c:numCache>
                <c:formatCode>General</c:formatCode>
                <c:ptCount val="1"/>
                <c:pt idx="0">
                  <c:v>225822</c:v>
                </c:pt>
              </c:numCache>
            </c:numRef>
          </c:val>
          <c:extLst>
            <c:ext xmlns:c16="http://schemas.microsoft.com/office/drawing/2014/chart" uri="{C3380CC4-5D6E-409C-BE32-E72D297353CC}">
              <c16:uniqueId val="{00000002-EF1F-4485-87F1-EC9BD7514091}"/>
            </c:ext>
          </c:extLst>
        </c:ser>
        <c:ser>
          <c:idx val="3"/>
          <c:order val="3"/>
          <c:tx>
            <c:strRef>
              <c:f>Population!$B$7:$C$7</c:f>
              <c:strCache>
                <c:ptCount val="2"/>
                <c:pt idx="0">
                  <c:v>Rural</c:v>
                </c:pt>
                <c:pt idx="1">
                  <c:v>60-79</c:v>
                </c:pt>
              </c:strCache>
            </c:strRef>
          </c:tx>
          <c:spPr>
            <a:solidFill>
              <a:schemeClr val="accent4"/>
            </a:solidFill>
            <a:ln>
              <a:noFill/>
            </a:ln>
            <a:effectLst/>
          </c:spPr>
          <c:invertIfNegative val="0"/>
          <c:cat>
            <c:strRef>
              <c:f>Population!$F$3</c:f>
              <c:strCache>
                <c:ptCount val="1"/>
                <c:pt idx="0">
                  <c:v>Total Population</c:v>
                </c:pt>
              </c:strCache>
            </c:strRef>
          </c:cat>
          <c:val>
            <c:numRef>
              <c:f>Population!$F$7</c:f>
              <c:numCache>
                <c:formatCode>General</c:formatCode>
                <c:ptCount val="1"/>
                <c:pt idx="0">
                  <c:v>113861</c:v>
                </c:pt>
              </c:numCache>
            </c:numRef>
          </c:val>
          <c:extLst>
            <c:ext xmlns:c16="http://schemas.microsoft.com/office/drawing/2014/chart" uri="{C3380CC4-5D6E-409C-BE32-E72D297353CC}">
              <c16:uniqueId val="{00000003-EF1F-4485-87F1-EC9BD7514091}"/>
            </c:ext>
          </c:extLst>
        </c:ser>
        <c:ser>
          <c:idx val="4"/>
          <c:order val="4"/>
          <c:tx>
            <c:strRef>
              <c:f>Population!$B$8:$C$8</c:f>
              <c:strCache>
                <c:ptCount val="2"/>
                <c:pt idx="0">
                  <c:v>Rural</c:v>
                </c:pt>
                <c:pt idx="1">
                  <c:v>80+</c:v>
                </c:pt>
              </c:strCache>
            </c:strRef>
          </c:tx>
          <c:spPr>
            <a:solidFill>
              <a:schemeClr val="accent5"/>
            </a:solidFill>
            <a:ln>
              <a:noFill/>
            </a:ln>
            <a:effectLst/>
          </c:spPr>
          <c:invertIfNegative val="0"/>
          <c:cat>
            <c:strRef>
              <c:f>Population!$F$3</c:f>
              <c:strCache>
                <c:ptCount val="1"/>
                <c:pt idx="0">
                  <c:v>Total Population</c:v>
                </c:pt>
              </c:strCache>
            </c:strRef>
          </c:cat>
          <c:val>
            <c:numRef>
              <c:f>Population!$F$8</c:f>
              <c:numCache>
                <c:formatCode>General</c:formatCode>
                <c:ptCount val="1"/>
                <c:pt idx="0">
                  <c:v>14333</c:v>
                </c:pt>
              </c:numCache>
            </c:numRef>
          </c:val>
          <c:extLst>
            <c:ext xmlns:c16="http://schemas.microsoft.com/office/drawing/2014/chart" uri="{C3380CC4-5D6E-409C-BE32-E72D297353CC}">
              <c16:uniqueId val="{00000004-EF1F-4485-87F1-EC9BD7514091}"/>
            </c:ext>
          </c:extLst>
        </c:ser>
        <c:ser>
          <c:idx val="5"/>
          <c:order val="5"/>
          <c:tx>
            <c:strRef>
              <c:f>Population!$B$9:$C$9</c:f>
              <c:strCache>
                <c:ptCount val="2"/>
                <c:pt idx="0">
                  <c:v>Urban</c:v>
                </c:pt>
                <c:pt idx="1">
                  <c:v>0-19</c:v>
                </c:pt>
              </c:strCache>
            </c:strRef>
          </c:tx>
          <c:spPr>
            <a:solidFill>
              <a:schemeClr val="accent6"/>
            </a:solidFill>
            <a:ln>
              <a:noFill/>
            </a:ln>
            <a:effectLst/>
          </c:spPr>
          <c:invertIfNegative val="0"/>
          <c:cat>
            <c:strRef>
              <c:f>Population!$F$3</c:f>
              <c:strCache>
                <c:ptCount val="1"/>
                <c:pt idx="0">
                  <c:v>Total Population</c:v>
                </c:pt>
              </c:strCache>
            </c:strRef>
          </c:cat>
          <c:val>
            <c:numRef>
              <c:f>Population!$F$9</c:f>
              <c:numCache>
                <c:formatCode>General</c:formatCode>
                <c:ptCount val="1"/>
                <c:pt idx="0">
                  <c:v>892176</c:v>
                </c:pt>
              </c:numCache>
            </c:numRef>
          </c:val>
          <c:extLst>
            <c:ext xmlns:c16="http://schemas.microsoft.com/office/drawing/2014/chart" uri="{C3380CC4-5D6E-409C-BE32-E72D297353CC}">
              <c16:uniqueId val="{00000005-EF1F-4485-87F1-EC9BD7514091}"/>
            </c:ext>
          </c:extLst>
        </c:ser>
        <c:ser>
          <c:idx val="6"/>
          <c:order val="6"/>
          <c:tx>
            <c:strRef>
              <c:f>Population!$B$10:$C$10</c:f>
              <c:strCache>
                <c:ptCount val="2"/>
                <c:pt idx="0">
                  <c:v>Urban</c:v>
                </c:pt>
                <c:pt idx="1">
                  <c:v>20-39</c:v>
                </c:pt>
              </c:strCache>
            </c:strRef>
          </c:tx>
          <c:spPr>
            <a:solidFill>
              <a:schemeClr val="accent1">
                <a:lumMod val="60000"/>
              </a:schemeClr>
            </a:solidFill>
            <a:ln>
              <a:noFill/>
            </a:ln>
            <a:effectLst/>
          </c:spPr>
          <c:invertIfNegative val="0"/>
          <c:cat>
            <c:strRef>
              <c:f>Population!$F$3</c:f>
              <c:strCache>
                <c:ptCount val="1"/>
                <c:pt idx="0">
                  <c:v>Total Population</c:v>
                </c:pt>
              </c:strCache>
            </c:strRef>
          </c:cat>
          <c:val>
            <c:numRef>
              <c:f>Population!$F$10</c:f>
              <c:numCache>
                <c:formatCode>General</c:formatCode>
                <c:ptCount val="1"/>
                <c:pt idx="0">
                  <c:v>1050681</c:v>
                </c:pt>
              </c:numCache>
            </c:numRef>
          </c:val>
          <c:extLst>
            <c:ext xmlns:c16="http://schemas.microsoft.com/office/drawing/2014/chart" uri="{C3380CC4-5D6E-409C-BE32-E72D297353CC}">
              <c16:uniqueId val="{00000006-EF1F-4485-87F1-EC9BD7514091}"/>
            </c:ext>
          </c:extLst>
        </c:ser>
        <c:ser>
          <c:idx val="7"/>
          <c:order val="7"/>
          <c:tx>
            <c:strRef>
              <c:f>Population!$B$11:$C$11</c:f>
              <c:strCache>
                <c:ptCount val="2"/>
                <c:pt idx="0">
                  <c:v>Urban</c:v>
                </c:pt>
                <c:pt idx="1">
                  <c:v>40-59</c:v>
                </c:pt>
              </c:strCache>
            </c:strRef>
          </c:tx>
          <c:spPr>
            <a:solidFill>
              <a:schemeClr val="accent2">
                <a:lumMod val="60000"/>
              </a:schemeClr>
            </a:solidFill>
            <a:ln>
              <a:noFill/>
            </a:ln>
            <a:effectLst/>
          </c:spPr>
          <c:invertIfNegative val="0"/>
          <c:cat>
            <c:strRef>
              <c:f>Population!$F$3</c:f>
              <c:strCache>
                <c:ptCount val="1"/>
                <c:pt idx="0">
                  <c:v>Total Population</c:v>
                </c:pt>
              </c:strCache>
            </c:strRef>
          </c:cat>
          <c:val>
            <c:numRef>
              <c:f>Population!$F$11</c:f>
              <c:numCache>
                <c:formatCode>General</c:formatCode>
                <c:ptCount val="1"/>
                <c:pt idx="0">
                  <c:v>603868</c:v>
                </c:pt>
              </c:numCache>
            </c:numRef>
          </c:val>
          <c:extLst>
            <c:ext xmlns:c16="http://schemas.microsoft.com/office/drawing/2014/chart" uri="{C3380CC4-5D6E-409C-BE32-E72D297353CC}">
              <c16:uniqueId val="{00000007-EF1F-4485-87F1-EC9BD7514091}"/>
            </c:ext>
          </c:extLst>
        </c:ser>
        <c:ser>
          <c:idx val="8"/>
          <c:order val="8"/>
          <c:tx>
            <c:strRef>
              <c:f>Population!$B$12:$C$12</c:f>
              <c:strCache>
                <c:ptCount val="2"/>
                <c:pt idx="0">
                  <c:v>Urban</c:v>
                </c:pt>
                <c:pt idx="1">
                  <c:v>60-79</c:v>
                </c:pt>
              </c:strCache>
            </c:strRef>
          </c:tx>
          <c:spPr>
            <a:solidFill>
              <a:schemeClr val="accent3">
                <a:lumMod val="60000"/>
              </a:schemeClr>
            </a:solidFill>
            <a:ln>
              <a:noFill/>
            </a:ln>
            <a:effectLst/>
          </c:spPr>
          <c:invertIfNegative val="0"/>
          <c:cat>
            <c:strRef>
              <c:f>Population!$F$3</c:f>
              <c:strCache>
                <c:ptCount val="1"/>
                <c:pt idx="0">
                  <c:v>Total Population</c:v>
                </c:pt>
              </c:strCache>
            </c:strRef>
          </c:cat>
          <c:val>
            <c:numRef>
              <c:f>Population!$F$12</c:f>
              <c:numCache>
                <c:formatCode>General</c:formatCode>
                <c:ptCount val="1"/>
                <c:pt idx="0">
                  <c:v>204009</c:v>
                </c:pt>
              </c:numCache>
            </c:numRef>
          </c:val>
          <c:extLst>
            <c:ext xmlns:c16="http://schemas.microsoft.com/office/drawing/2014/chart" uri="{C3380CC4-5D6E-409C-BE32-E72D297353CC}">
              <c16:uniqueId val="{00000008-EF1F-4485-87F1-EC9BD7514091}"/>
            </c:ext>
          </c:extLst>
        </c:ser>
        <c:ser>
          <c:idx val="9"/>
          <c:order val="9"/>
          <c:tx>
            <c:strRef>
              <c:f>Population!$B$13:$C$13</c:f>
              <c:strCache>
                <c:ptCount val="2"/>
                <c:pt idx="0">
                  <c:v>Urban</c:v>
                </c:pt>
                <c:pt idx="1">
                  <c:v>80+</c:v>
                </c:pt>
              </c:strCache>
            </c:strRef>
          </c:tx>
          <c:spPr>
            <a:solidFill>
              <a:schemeClr val="accent4">
                <a:lumMod val="60000"/>
              </a:schemeClr>
            </a:solidFill>
            <a:ln>
              <a:noFill/>
            </a:ln>
            <a:effectLst/>
          </c:spPr>
          <c:invertIfNegative val="0"/>
          <c:cat>
            <c:strRef>
              <c:f>Population!$F$3</c:f>
              <c:strCache>
                <c:ptCount val="1"/>
                <c:pt idx="0">
                  <c:v>Total Population</c:v>
                </c:pt>
              </c:strCache>
            </c:strRef>
          </c:cat>
          <c:val>
            <c:numRef>
              <c:f>Population!$F$13</c:f>
              <c:numCache>
                <c:formatCode>General</c:formatCode>
                <c:ptCount val="1"/>
                <c:pt idx="0">
                  <c:v>27183</c:v>
                </c:pt>
              </c:numCache>
            </c:numRef>
          </c:val>
          <c:extLst>
            <c:ext xmlns:c16="http://schemas.microsoft.com/office/drawing/2014/chart" uri="{C3380CC4-5D6E-409C-BE32-E72D297353CC}">
              <c16:uniqueId val="{00000009-EF1F-4485-87F1-EC9BD7514091}"/>
            </c:ext>
          </c:extLst>
        </c:ser>
        <c:dLbls>
          <c:showLegendKey val="0"/>
          <c:showVal val="0"/>
          <c:showCatName val="0"/>
          <c:showSerName val="0"/>
          <c:showPercent val="0"/>
          <c:showBubbleSize val="0"/>
        </c:dLbls>
        <c:gapWidth val="219"/>
        <c:overlap val="-27"/>
        <c:axId val="397335584"/>
        <c:axId val="397336064"/>
      </c:barChart>
      <c:catAx>
        <c:axId val="39733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7336064"/>
        <c:crosses val="autoZero"/>
        <c:auto val="1"/>
        <c:lblAlgn val="ctr"/>
        <c:lblOffset val="100"/>
        <c:noMultiLvlLbl val="0"/>
      </c:catAx>
      <c:valAx>
        <c:axId val="39733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7335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[final.xlsx]Surviving Children !PivotTable1</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050" b="1">
                <a:effectLst/>
              </a:rPr>
              <a:t>Surviving Male and Female Children</a:t>
            </a:r>
            <a:r>
              <a:rPr lang="en-IN" sz="1050">
                <a:effectLst/>
              </a:rPr>
              <a:t> by the </a:t>
            </a:r>
            <a:r>
              <a:rPr lang="en-IN" sz="1050" b="1">
                <a:effectLst/>
              </a:rPr>
              <a:t>current age of women</a:t>
            </a:r>
            <a:endParaRPr lang="en-IN" sz="1050">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gradFill>
            <a:gsLst>
              <a:gs pos="0">
                <a:srgbClr val="002060"/>
              </a:gs>
              <a:gs pos="91000">
                <a:srgbClr val="00B0F0"/>
              </a:gs>
              <a:gs pos="69000">
                <a:srgbClr val="0070C0"/>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rgbClr val="ED37CA"/>
              </a:gs>
              <a:gs pos="91000">
                <a:srgbClr val="FEF4FC"/>
              </a:gs>
              <a:gs pos="69000">
                <a:srgbClr val="EEA2DE"/>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002060"/>
              </a:gs>
              <a:gs pos="91000">
                <a:srgbClr val="00B0F0"/>
              </a:gs>
              <a:gs pos="69000">
                <a:srgbClr val="0070C0"/>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rgbClr val="ED37CA"/>
              </a:gs>
              <a:gs pos="91000">
                <a:srgbClr val="FEF4FC"/>
              </a:gs>
              <a:gs pos="69000">
                <a:srgbClr val="EEA2DE"/>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002060"/>
              </a:gs>
              <a:gs pos="91000">
                <a:srgbClr val="00B0F0"/>
              </a:gs>
              <a:gs pos="69000">
                <a:srgbClr val="0070C0"/>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rgbClr val="ED37CA"/>
              </a:gs>
              <a:gs pos="91000">
                <a:srgbClr val="FEF4FC"/>
              </a:gs>
              <a:gs pos="69000">
                <a:srgbClr val="EEA2DE"/>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74330479219809"/>
          <c:y val="0.21324357171444197"/>
          <c:w val="0.63392209451388914"/>
          <c:h val="0.51865900988063196"/>
        </c:manualLayout>
      </c:layout>
      <c:barChart>
        <c:barDir val="col"/>
        <c:grouping val="stacked"/>
        <c:varyColors val="0"/>
        <c:ser>
          <c:idx val="0"/>
          <c:order val="0"/>
          <c:tx>
            <c:strRef>
              <c:f>'Surviving Children '!$B$80</c:f>
              <c:strCache>
                <c:ptCount val="1"/>
                <c:pt idx="0">
                  <c:v>Sum of Total no. of surviving children (Male)</c:v>
                </c:pt>
              </c:strCache>
            </c:strRef>
          </c:tx>
          <c:spPr>
            <a:gradFill>
              <a:gsLst>
                <a:gs pos="0">
                  <a:srgbClr val="002060"/>
                </a:gs>
                <a:gs pos="91000">
                  <a:srgbClr val="00B0F0"/>
                </a:gs>
                <a:gs pos="69000">
                  <a:srgbClr val="0070C0"/>
                </a:gs>
                <a:gs pos="100000">
                  <a:schemeClr val="accent1">
                    <a:lumMod val="30000"/>
                    <a:lumOff val="70000"/>
                  </a:schemeClr>
                </a:gs>
              </a:gsLst>
              <a:lin ang="5400000" scaled="1"/>
            </a:gradFill>
            <a:ln>
              <a:noFill/>
            </a:ln>
            <a:effectLst/>
          </c:spPr>
          <c:invertIfNegative val="0"/>
          <c:cat>
            <c:strRef>
              <c:f>'Surviving Children '!$A$81:$A$96</c:f>
              <c:strCache>
                <c:ptCount val="15"/>
                <c:pt idx="0">
                  <c:v>15-19</c:v>
                </c:pt>
                <c:pt idx="1">
                  <c:v>20-24</c:v>
                </c:pt>
                <c:pt idx="2">
                  <c:v>25-29</c:v>
                </c:pt>
                <c:pt idx="3">
                  <c:v>30-34</c:v>
                </c:pt>
                <c:pt idx="4">
                  <c:v>35-39</c:v>
                </c:pt>
                <c:pt idx="5">
                  <c:v>40-44</c:v>
                </c:pt>
                <c:pt idx="6">
                  <c:v>45-49</c:v>
                </c:pt>
                <c:pt idx="7">
                  <c:v>50-54</c:v>
                </c:pt>
                <c:pt idx="8">
                  <c:v>55-59</c:v>
                </c:pt>
                <c:pt idx="9">
                  <c:v>60-64</c:v>
                </c:pt>
                <c:pt idx="10">
                  <c:v>65-69</c:v>
                </c:pt>
                <c:pt idx="11">
                  <c:v>70-74</c:v>
                </c:pt>
                <c:pt idx="12">
                  <c:v>75-79</c:v>
                </c:pt>
                <c:pt idx="13">
                  <c:v>80+</c:v>
                </c:pt>
                <c:pt idx="14">
                  <c:v>Less than 15</c:v>
                </c:pt>
              </c:strCache>
            </c:strRef>
          </c:cat>
          <c:val>
            <c:numRef>
              <c:f>'Surviving Children '!$B$81:$B$96</c:f>
              <c:numCache>
                <c:formatCode>#,##0</c:formatCode>
                <c:ptCount val="15"/>
                <c:pt idx="0">
                  <c:v>6861</c:v>
                </c:pt>
                <c:pt idx="1">
                  <c:v>49703</c:v>
                </c:pt>
                <c:pt idx="2">
                  <c:v>126143</c:v>
                </c:pt>
                <c:pt idx="3">
                  <c:v>176321</c:v>
                </c:pt>
                <c:pt idx="4">
                  <c:v>214919</c:v>
                </c:pt>
                <c:pt idx="5">
                  <c:v>192117</c:v>
                </c:pt>
                <c:pt idx="6">
                  <c:v>178531</c:v>
                </c:pt>
                <c:pt idx="7">
                  <c:v>137614</c:v>
                </c:pt>
                <c:pt idx="8">
                  <c:v>120606</c:v>
                </c:pt>
                <c:pt idx="9">
                  <c:v>110384</c:v>
                </c:pt>
                <c:pt idx="10">
                  <c:v>70919</c:v>
                </c:pt>
                <c:pt idx="11">
                  <c:v>47145</c:v>
                </c:pt>
                <c:pt idx="12">
                  <c:v>22374</c:v>
                </c:pt>
                <c:pt idx="13">
                  <c:v>27962</c:v>
                </c:pt>
                <c:pt idx="14">
                  <c:v>1314</c:v>
                </c:pt>
              </c:numCache>
            </c:numRef>
          </c:val>
          <c:extLst>
            <c:ext xmlns:c16="http://schemas.microsoft.com/office/drawing/2014/chart" uri="{C3380CC4-5D6E-409C-BE32-E72D297353CC}">
              <c16:uniqueId val="{00000000-C9EC-41E6-8C2D-6E0BE428E9C8}"/>
            </c:ext>
          </c:extLst>
        </c:ser>
        <c:ser>
          <c:idx val="1"/>
          <c:order val="1"/>
          <c:tx>
            <c:strRef>
              <c:f>'Surviving Children '!$C$80</c:f>
              <c:strCache>
                <c:ptCount val="1"/>
                <c:pt idx="0">
                  <c:v>Sum of Total no. of surviving children (Female)</c:v>
                </c:pt>
              </c:strCache>
            </c:strRef>
          </c:tx>
          <c:spPr>
            <a:gradFill>
              <a:gsLst>
                <a:gs pos="0">
                  <a:srgbClr val="ED37CA"/>
                </a:gs>
                <a:gs pos="91000">
                  <a:srgbClr val="FEF4FC"/>
                </a:gs>
                <a:gs pos="69000">
                  <a:srgbClr val="EEA2DE"/>
                </a:gs>
                <a:gs pos="100000">
                  <a:schemeClr val="accent1">
                    <a:lumMod val="30000"/>
                    <a:lumOff val="70000"/>
                  </a:schemeClr>
                </a:gs>
              </a:gsLst>
              <a:lin ang="5400000" scaled="1"/>
            </a:gradFill>
            <a:ln>
              <a:noFill/>
            </a:ln>
            <a:effectLst/>
          </c:spPr>
          <c:invertIfNegative val="0"/>
          <c:cat>
            <c:strRef>
              <c:f>'Surviving Children '!$A$81:$A$96</c:f>
              <c:strCache>
                <c:ptCount val="15"/>
                <c:pt idx="0">
                  <c:v>15-19</c:v>
                </c:pt>
                <c:pt idx="1">
                  <c:v>20-24</c:v>
                </c:pt>
                <c:pt idx="2">
                  <c:v>25-29</c:v>
                </c:pt>
                <c:pt idx="3">
                  <c:v>30-34</c:v>
                </c:pt>
                <c:pt idx="4">
                  <c:v>35-39</c:v>
                </c:pt>
                <c:pt idx="5">
                  <c:v>40-44</c:v>
                </c:pt>
                <c:pt idx="6">
                  <c:v>45-49</c:v>
                </c:pt>
                <c:pt idx="7">
                  <c:v>50-54</c:v>
                </c:pt>
                <c:pt idx="8">
                  <c:v>55-59</c:v>
                </c:pt>
                <c:pt idx="9">
                  <c:v>60-64</c:v>
                </c:pt>
                <c:pt idx="10">
                  <c:v>65-69</c:v>
                </c:pt>
                <c:pt idx="11">
                  <c:v>70-74</c:v>
                </c:pt>
                <c:pt idx="12">
                  <c:v>75-79</c:v>
                </c:pt>
                <c:pt idx="13">
                  <c:v>80+</c:v>
                </c:pt>
                <c:pt idx="14">
                  <c:v>Less than 15</c:v>
                </c:pt>
              </c:strCache>
            </c:strRef>
          </c:cat>
          <c:val>
            <c:numRef>
              <c:f>'Surviving Children '!$C$81:$C$96</c:f>
              <c:numCache>
                <c:formatCode>#,##0</c:formatCode>
                <c:ptCount val="15"/>
                <c:pt idx="0">
                  <c:v>5985</c:v>
                </c:pt>
                <c:pt idx="1">
                  <c:v>45400</c:v>
                </c:pt>
                <c:pt idx="2">
                  <c:v>114736</c:v>
                </c:pt>
                <c:pt idx="3">
                  <c:v>158351</c:v>
                </c:pt>
                <c:pt idx="4">
                  <c:v>189546</c:v>
                </c:pt>
                <c:pt idx="5">
                  <c:v>163045</c:v>
                </c:pt>
                <c:pt idx="6">
                  <c:v>146288</c:v>
                </c:pt>
                <c:pt idx="7">
                  <c:v>107367</c:v>
                </c:pt>
                <c:pt idx="8">
                  <c:v>91265</c:v>
                </c:pt>
                <c:pt idx="9">
                  <c:v>84619</c:v>
                </c:pt>
                <c:pt idx="10">
                  <c:v>54492</c:v>
                </c:pt>
                <c:pt idx="11">
                  <c:v>36075</c:v>
                </c:pt>
                <c:pt idx="12">
                  <c:v>17599</c:v>
                </c:pt>
                <c:pt idx="13">
                  <c:v>22177</c:v>
                </c:pt>
                <c:pt idx="14">
                  <c:v>1235</c:v>
                </c:pt>
              </c:numCache>
            </c:numRef>
          </c:val>
          <c:extLst>
            <c:ext xmlns:c16="http://schemas.microsoft.com/office/drawing/2014/chart" uri="{C3380CC4-5D6E-409C-BE32-E72D297353CC}">
              <c16:uniqueId val="{00000001-C9EC-41E6-8C2D-6E0BE428E9C8}"/>
            </c:ext>
          </c:extLst>
        </c:ser>
        <c:dLbls>
          <c:showLegendKey val="0"/>
          <c:showVal val="0"/>
          <c:showCatName val="0"/>
          <c:showSerName val="0"/>
          <c:showPercent val="0"/>
          <c:showBubbleSize val="0"/>
        </c:dLbls>
        <c:gapWidth val="150"/>
        <c:overlap val="100"/>
        <c:axId val="1089830512"/>
        <c:axId val="1089830992"/>
      </c:barChart>
      <c:catAx>
        <c:axId val="108983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830992"/>
        <c:crosses val="autoZero"/>
        <c:auto val="1"/>
        <c:lblAlgn val="ctr"/>
        <c:lblOffset val="100"/>
        <c:noMultiLvlLbl val="0"/>
      </c:catAx>
      <c:valAx>
        <c:axId val="10898309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830512"/>
        <c:crosses val="autoZero"/>
        <c:crossBetween val="between"/>
      </c:valAx>
      <c:spPr>
        <a:noFill/>
        <a:ln>
          <a:noFill/>
        </a:ln>
        <a:effectLst/>
      </c:spPr>
    </c:plotArea>
    <c:legend>
      <c:legendPos val="r"/>
      <c:layout>
        <c:manualLayout>
          <c:xMode val="edge"/>
          <c:yMode val="edge"/>
          <c:x val="0.76088712323732588"/>
          <c:y val="0.25572918770263375"/>
          <c:w val="0.22244322035010655"/>
          <c:h val="0.6271752260869245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[final.xlsx]Surviving Children !PivotTable4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No.</a:t>
            </a:r>
            <a:r>
              <a:rPr lang="en-IN" sz="1200" b="1" baseline="0"/>
              <a:t> of Surviving Children By current age of women</a:t>
            </a:r>
            <a:endParaRPr lang="en-IN"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gradFill>
              <a:gsLst>
                <a:gs pos="0">
                  <a:srgbClr val="C00000"/>
                </a:gs>
                <a:gs pos="74000">
                  <a:srgbClr val="FFC000"/>
                </a:gs>
                <a:gs pos="83000">
                  <a:srgbClr val="FFFF00"/>
                </a:gs>
                <a:gs pos="100000">
                  <a:schemeClr val="accent4">
                    <a:lumMod val="60000"/>
                    <a:lumOff val="4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gradFill>
              <a:gsLst>
                <a:gs pos="0">
                  <a:srgbClr val="C00000"/>
                </a:gs>
                <a:gs pos="74000">
                  <a:srgbClr val="FFC000"/>
                </a:gs>
                <a:gs pos="83000">
                  <a:srgbClr val="FFFF00"/>
                </a:gs>
                <a:gs pos="100000">
                  <a:schemeClr val="accent4">
                    <a:lumMod val="60000"/>
                    <a:lumOff val="4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0">
                  <a:srgbClr val="C00000"/>
                </a:gs>
                <a:gs pos="74000">
                  <a:srgbClr val="FFC000"/>
                </a:gs>
                <a:gs pos="83000">
                  <a:srgbClr val="FFFF00"/>
                </a:gs>
                <a:gs pos="100000">
                  <a:schemeClr val="accent4">
                    <a:lumMod val="60000"/>
                    <a:lumOff val="4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'Surviving Children '!$M$65</c:f>
              <c:strCache>
                <c:ptCount val="1"/>
                <c:pt idx="0">
                  <c:v>Total</c:v>
                </c:pt>
              </c:strCache>
            </c:strRef>
          </c:tx>
          <c:spPr>
            <a:ln w="28575" cap="rnd">
              <a:gradFill>
                <a:gsLst>
                  <a:gs pos="0">
                    <a:srgbClr val="C00000"/>
                  </a:gs>
                  <a:gs pos="74000">
                    <a:srgbClr val="FFC000"/>
                  </a:gs>
                  <a:gs pos="83000">
                    <a:srgbClr val="FFFF00"/>
                  </a:gs>
                  <a:gs pos="100000">
                    <a:schemeClr val="accent4">
                      <a:lumMod val="60000"/>
                      <a:lumOff val="40000"/>
                    </a:schemeClr>
                  </a:gs>
                </a:gsLst>
                <a:lin ang="5400000" scaled="1"/>
              </a:gradFill>
              <a:round/>
            </a:ln>
            <a:effectLst/>
          </c:spPr>
          <c:marker>
            <c:symbol val="none"/>
          </c:marker>
          <c:cat>
            <c:strRef>
              <c:f>'Surviving Children '!$L$66:$L$81</c:f>
              <c:strCache>
                <c:ptCount val="15"/>
                <c:pt idx="0">
                  <c:v>15-19</c:v>
                </c:pt>
                <c:pt idx="1">
                  <c:v>20-24</c:v>
                </c:pt>
                <c:pt idx="2">
                  <c:v>25-29</c:v>
                </c:pt>
                <c:pt idx="3">
                  <c:v>30-34</c:v>
                </c:pt>
                <c:pt idx="4">
                  <c:v>35-39</c:v>
                </c:pt>
                <c:pt idx="5">
                  <c:v>40-44</c:v>
                </c:pt>
                <c:pt idx="6">
                  <c:v>45-49</c:v>
                </c:pt>
                <c:pt idx="7">
                  <c:v>50-54</c:v>
                </c:pt>
                <c:pt idx="8">
                  <c:v>55-59</c:v>
                </c:pt>
                <c:pt idx="9">
                  <c:v>60-64</c:v>
                </c:pt>
                <c:pt idx="10">
                  <c:v>65-69</c:v>
                </c:pt>
                <c:pt idx="11">
                  <c:v>70-74</c:v>
                </c:pt>
                <c:pt idx="12">
                  <c:v>75-79</c:v>
                </c:pt>
                <c:pt idx="13">
                  <c:v>80+</c:v>
                </c:pt>
                <c:pt idx="14">
                  <c:v>Less than 15</c:v>
                </c:pt>
              </c:strCache>
            </c:strRef>
          </c:cat>
          <c:val>
            <c:numRef>
              <c:f>'Surviving Children '!$M$66:$M$81</c:f>
              <c:numCache>
                <c:formatCode>#,##0</c:formatCode>
                <c:ptCount val="15"/>
                <c:pt idx="0">
                  <c:v>12846</c:v>
                </c:pt>
                <c:pt idx="1">
                  <c:v>95103</c:v>
                </c:pt>
                <c:pt idx="2">
                  <c:v>240879</c:v>
                </c:pt>
                <c:pt idx="3">
                  <c:v>334672</c:v>
                </c:pt>
                <c:pt idx="4">
                  <c:v>404465</c:v>
                </c:pt>
                <c:pt idx="5">
                  <c:v>355162</c:v>
                </c:pt>
                <c:pt idx="6">
                  <c:v>324819</c:v>
                </c:pt>
                <c:pt idx="7">
                  <c:v>244981</c:v>
                </c:pt>
                <c:pt idx="8">
                  <c:v>211871</c:v>
                </c:pt>
                <c:pt idx="9">
                  <c:v>195003</c:v>
                </c:pt>
                <c:pt idx="10">
                  <c:v>125411</c:v>
                </c:pt>
                <c:pt idx="11">
                  <c:v>83220</c:v>
                </c:pt>
                <c:pt idx="12">
                  <c:v>39973</c:v>
                </c:pt>
                <c:pt idx="13">
                  <c:v>50139</c:v>
                </c:pt>
                <c:pt idx="14">
                  <c:v>2549</c:v>
                </c:pt>
              </c:numCache>
            </c:numRef>
          </c:val>
          <c:smooth val="0"/>
          <c:extLst>
            <c:ext xmlns:c16="http://schemas.microsoft.com/office/drawing/2014/chart" uri="{C3380CC4-5D6E-409C-BE32-E72D297353CC}">
              <c16:uniqueId val="{00000000-4ED5-41FD-8D2F-EF7DC6930C52}"/>
            </c:ext>
          </c:extLst>
        </c:ser>
        <c:dLbls>
          <c:showLegendKey val="0"/>
          <c:showVal val="0"/>
          <c:showCatName val="0"/>
          <c:showSerName val="0"/>
          <c:showPercent val="0"/>
          <c:showBubbleSize val="0"/>
        </c:dLbls>
        <c:smooth val="0"/>
        <c:axId val="1082971104"/>
        <c:axId val="1082987904"/>
      </c:lineChart>
      <c:catAx>
        <c:axId val="108297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987904"/>
        <c:crosses val="autoZero"/>
        <c:auto val="1"/>
        <c:lblAlgn val="ctr"/>
        <c:lblOffset val="100"/>
        <c:noMultiLvlLbl val="0"/>
      </c:catAx>
      <c:valAx>
        <c:axId val="10829879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97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[final.xlsx]Population!PivotTable51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Rural</a:t>
            </a:r>
            <a:r>
              <a:rPr lang="en-IN" b="1" baseline="0"/>
              <a:t> Urban Population By Age Group</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rgbClr val="EEA2D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EEA2D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EEA2D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Population!$M$23:$M$24</c:f>
              <c:strCache>
                <c:ptCount val="1"/>
                <c:pt idx="0">
                  <c:v>Rural</c:v>
                </c:pt>
              </c:strCache>
            </c:strRef>
          </c:tx>
          <c:spPr>
            <a:ln w="28575" cap="rnd">
              <a:solidFill>
                <a:srgbClr val="EEA2DE"/>
              </a:solidFill>
              <a:round/>
            </a:ln>
            <a:effectLst/>
          </c:spPr>
          <c:marker>
            <c:symbol val="none"/>
          </c:marker>
          <c:cat>
            <c:strRef>
              <c:f>Population!$L$25:$L$30</c:f>
              <c:strCache>
                <c:ptCount val="5"/>
                <c:pt idx="0">
                  <c:v>0-19</c:v>
                </c:pt>
                <c:pt idx="1">
                  <c:v>20-39</c:v>
                </c:pt>
                <c:pt idx="2">
                  <c:v>40-59</c:v>
                </c:pt>
                <c:pt idx="3">
                  <c:v>60-79</c:v>
                </c:pt>
                <c:pt idx="4">
                  <c:v>80+</c:v>
                </c:pt>
              </c:strCache>
            </c:strRef>
          </c:cat>
          <c:val>
            <c:numRef>
              <c:f>Population!$M$25:$M$30</c:f>
              <c:numCache>
                <c:formatCode>General</c:formatCode>
                <c:ptCount val="5"/>
                <c:pt idx="0">
                  <c:v>582955</c:v>
                </c:pt>
                <c:pt idx="1">
                  <c:v>453130</c:v>
                </c:pt>
                <c:pt idx="2">
                  <c:v>225822</c:v>
                </c:pt>
                <c:pt idx="3">
                  <c:v>113861</c:v>
                </c:pt>
                <c:pt idx="4">
                  <c:v>14333</c:v>
                </c:pt>
              </c:numCache>
            </c:numRef>
          </c:val>
          <c:smooth val="0"/>
          <c:extLst>
            <c:ext xmlns:c16="http://schemas.microsoft.com/office/drawing/2014/chart" uri="{C3380CC4-5D6E-409C-BE32-E72D297353CC}">
              <c16:uniqueId val="{00000000-EA19-4A06-B6BB-B1B729BF6027}"/>
            </c:ext>
          </c:extLst>
        </c:ser>
        <c:ser>
          <c:idx val="1"/>
          <c:order val="1"/>
          <c:tx>
            <c:strRef>
              <c:f>Population!$N$23:$N$24</c:f>
              <c:strCache>
                <c:ptCount val="1"/>
                <c:pt idx="0">
                  <c:v>Urban</c:v>
                </c:pt>
              </c:strCache>
            </c:strRef>
          </c:tx>
          <c:spPr>
            <a:ln w="28575" cap="rnd">
              <a:solidFill>
                <a:srgbClr val="FFFF00"/>
              </a:solidFill>
              <a:round/>
            </a:ln>
            <a:effectLst/>
          </c:spPr>
          <c:marker>
            <c:symbol val="none"/>
          </c:marker>
          <c:cat>
            <c:strRef>
              <c:f>Population!$L$25:$L$30</c:f>
              <c:strCache>
                <c:ptCount val="5"/>
                <c:pt idx="0">
                  <c:v>0-19</c:v>
                </c:pt>
                <c:pt idx="1">
                  <c:v>20-39</c:v>
                </c:pt>
                <c:pt idx="2">
                  <c:v>40-59</c:v>
                </c:pt>
                <c:pt idx="3">
                  <c:v>60-79</c:v>
                </c:pt>
                <c:pt idx="4">
                  <c:v>80+</c:v>
                </c:pt>
              </c:strCache>
            </c:strRef>
          </c:cat>
          <c:val>
            <c:numRef>
              <c:f>Population!$N$25:$N$30</c:f>
              <c:numCache>
                <c:formatCode>General</c:formatCode>
                <c:ptCount val="5"/>
                <c:pt idx="0">
                  <c:v>892176</c:v>
                </c:pt>
                <c:pt idx="1">
                  <c:v>1050681</c:v>
                </c:pt>
                <c:pt idx="2">
                  <c:v>603868</c:v>
                </c:pt>
                <c:pt idx="3">
                  <c:v>204009</c:v>
                </c:pt>
                <c:pt idx="4">
                  <c:v>27183</c:v>
                </c:pt>
              </c:numCache>
            </c:numRef>
          </c:val>
          <c:smooth val="0"/>
          <c:extLst>
            <c:ext xmlns:c16="http://schemas.microsoft.com/office/drawing/2014/chart" uri="{C3380CC4-5D6E-409C-BE32-E72D297353CC}">
              <c16:uniqueId val="{00000001-EA19-4A06-B6BB-B1B729BF6027}"/>
            </c:ext>
          </c:extLst>
        </c:ser>
        <c:dLbls>
          <c:showLegendKey val="0"/>
          <c:showVal val="0"/>
          <c:showCatName val="0"/>
          <c:showSerName val="0"/>
          <c:showPercent val="0"/>
          <c:showBubbleSize val="0"/>
        </c:dLbls>
        <c:smooth val="0"/>
        <c:axId val="727243279"/>
        <c:axId val="727226959"/>
      </c:lineChart>
      <c:catAx>
        <c:axId val="72724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7226959"/>
        <c:crosses val="autoZero"/>
        <c:auto val="1"/>
        <c:lblAlgn val="ctr"/>
        <c:lblOffset val="100"/>
        <c:noMultiLvlLbl val="0"/>
      </c:catAx>
      <c:valAx>
        <c:axId val="727226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72432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[final.xlsx]Marital Status!PivotTable24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Religious composition in Rural and Urban Areas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EEA2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5C9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EA2DE"/>
          </a:solidFill>
          <a:ln>
            <a:noFill/>
          </a:ln>
          <a:effectLst/>
        </c:spPr>
      </c:pivotFmt>
      <c:pivotFmt>
        <c:idx val="8"/>
        <c:spPr>
          <a:solidFill>
            <a:srgbClr val="EEA2DE"/>
          </a:solidFill>
          <a:ln>
            <a:noFill/>
          </a:ln>
          <a:effectLst/>
        </c:spPr>
      </c:pivotFmt>
      <c:pivotFmt>
        <c:idx val="9"/>
        <c:spPr>
          <a:solidFill>
            <a:srgbClr val="EEA2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D5C9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EEA2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D5C9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'Marital Status'!$G$22</c:f>
              <c:strCache>
                <c:ptCount val="1"/>
                <c:pt idx="0">
                  <c:v>Sum of Total Hindu Population</c:v>
                </c:pt>
              </c:strCache>
            </c:strRef>
          </c:tx>
          <c:spPr>
            <a:solidFill>
              <a:srgbClr val="EEA2DE"/>
            </a:solidFill>
            <a:ln>
              <a:noFill/>
            </a:ln>
            <a:effectLst/>
          </c:spPr>
          <c:invertIfNegative val="0"/>
          <c:cat>
            <c:strRef>
              <c:f>'Marital Status'!$F$23:$F$25</c:f>
              <c:strCache>
                <c:ptCount val="2"/>
                <c:pt idx="0">
                  <c:v>Rural</c:v>
                </c:pt>
                <c:pt idx="1">
                  <c:v>Urban</c:v>
                </c:pt>
              </c:strCache>
            </c:strRef>
          </c:cat>
          <c:val>
            <c:numRef>
              <c:f>'Marital Status'!$G$23:$G$25</c:f>
              <c:numCache>
                <c:formatCode>General</c:formatCode>
                <c:ptCount val="2"/>
                <c:pt idx="0">
                  <c:v>4145074</c:v>
                </c:pt>
                <c:pt idx="1">
                  <c:v>6639450</c:v>
                </c:pt>
              </c:numCache>
            </c:numRef>
          </c:val>
          <c:extLst>
            <c:ext xmlns:c16="http://schemas.microsoft.com/office/drawing/2014/chart" uri="{C3380CC4-5D6E-409C-BE32-E72D297353CC}">
              <c16:uniqueId val="{00000000-2774-433B-8AB4-327C33B06FF4}"/>
            </c:ext>
          </c:extLst>
        </c:ser>
        <c:ser>
          <c:idx val="1"/>
          <c:order val="1"/>
          <c:tx>
            <c:strRef>
              <c:f>'Marital Status'!$H$22</c:f>
              <c:strCache>
                <c:ptCount val="1"/>
                <c:pt idx="0">
                  <c:v>Sum of Total Muslim Population</c:v>
                </c:pt>
              </c:strCache>
            </c:strRef>
          </c:tx>
          <c:spPr>
            <a:solidFill>
              <a:srgbClr val="D5C933"/>
            </a:solidFill>
            <a:ln>
              <a:noFill/>
            </a:ln>
            <a:effectLst/>
          </c:spPr>
          <c:invertIfNegative val="0"/>
          <c:cat>
            <c:strRef>
              <c:f>'Marital Status'!$F$23:$F$25</c:f>
              <c:strCache>
                <c:ptCount val="2"/>
                <c:pt idx="0">
                  <c:v>Rural</c:v>
                </c:pt>
                <c:pt idx="1">
                  <c:v>Urban</c:v>
                </c:pt>
              </c:strCache>
            </c:strRef>
          </c:cat>
          <c:val>
            <c:numRef>
              <c:f>'Marital Status'!$H$23:$H$25</c:f>
              <c:numCache>
                <c:formatCode>General</c:formatCode>
                <c:ptCount val="2"/>
                <c:pt idx="0">
                  <c:v>557146</c:v>
                </c:pt>
                <c:pt idx="1">
                  <c:v>2424850</c:v>
                </c:pt>
              </c:numCache>
            </c:numRef>
          </c:val>
          <c:extLst>
            <c:ext xmlns:c16="http://schemas.microsoft.com/office/drawing/2014/chart" uri="{C3380CC4-5D6E-409C-BE32-E72D297353CC}">
              <c16:uniqueId val="{00000001-2774-433B-8AB4-327C33B06FF4}"/>
            </c:ext>
          </c:extLst>
        </c:ser>
        <c:ser>
          <c:idx val="2"/>
          <c:order val="2"/>
          <c:tx>
            <c:strRef>
              <c:f>'Marital Status'!$I$22</c:f>
              <c:strCache>
                <c:ptCount val="1"/>
                <c:pt idx="0">
                  <c:v>Sum of Total Christian Population</c:v>
                </c:pt>
              </c:strCache>
            </c:strRef>
          </c:tx>
          <c:spPr>
            <a:solidFill>
              <a:schemeClr val="accent3"/>
            </a:solidFill>
            <a:ln>
              <a:noFill/>
            </a:ln>
            <a:effectLst/>
          </c:spPr>
          <c:invertIfNegative val="0"/>
          <c:cat>
            <c:strRef>
              <c:f>'Marital Status'!$F$23:$F$25</c:f>
              <c:strCache>
                <c:ptCount val="2"/>
                <c:pt idx="0">
                  <c:v>Rural</c:v>
                </c:pt>
                <c:pt idx="1">
                  <c:v>Urban</c:v>
                </c:pt>
              </c:strCache>
            </c:strRef>
          </c:cat>
          <c:val>
            <c:numRef>
              <c:f>'Marital Status'!$I$23:$I$25</c:f>
              <c:numCache>
                <c:formatCode>General</c:formatCode>
                <c:ptCount val="2"/>
                <c:pt idx="0">
                  <c:v>7412</c:v>
                </c:pt>
                <c:pt idx="1">
                  <c:v>53732</c:v>
                </c:pt>
              </c:numCache>
            </c:numRef>
          </c:val>
          <c:extLst>
            <c:ext xmlns:c16="http://schemas.microsoft.com/office/drawing/2014/chart" uri="{C3380CC4-5D6E-409C-BE32-E72D297353CC}">
              <c16:uniqueId val="{00000002-2774-433B-8AB4-327C33B06FF4}"/>
            </c:ext>
          </c:extLst>
        </c:ser>
        <c:ser>
          <c:idx val="3"/>
          <c:order val="3"/>
          <c:tx>
            <c:strRef>
              <c:f>'Marital Status'!$J$22</c:f>
              <c:strCache>
                <c:ptCount val="1"/>
                <c:pt idx="0">
                  <c:v>Sum of Total  Sikh Population</c:v>
                </c:pt>
              </c:strCache>
            </c:strRef>
          </c:tx>
          <c:spPr>
            <a:solidFill>
              <a:schemeClr val="accent4"/>
            </a:solidFill>
            <a:ln>
              <a:noFill/>
            </a:ln>
            <a:effectLst/>
          </c:spPr>
          <c:invertIfNegative val="0"/>
          <c:cat>
            <c:strRef>
              <c:f>'Marital Status'!$F$23:$F$25</c:f>
              <c:strCache>
                <c:ptCount val="2"/>
                <c:pt idx="0">
                  <c:v>Rural</c:v>
                </c:pt>
                <c:pt idx="1">
                  <c:v>Urban</c:v>
                </c:pt>
              </c:strCache>
            </c:strRef>
          </c:cat>
          <c:val>
            <c:numRef>
              <c:f>'Marital Status'!$J$23:$J$25</c:f>
              <c:numCache>
                <c:formatCode>General</c:formatCode>
                <c:ptCount val="2"/>
                <c:pt idx="0">
                  <c:v>3192</c:v>
                </c:pt>
                <c:pt idx="1">
                  <c:v>69720</c:v>
                </c:pt>
              </c:numCache>
            </c:numRef>
          </c:val>
          <c:extLst>
            <c:ext xmlns:c16="http://schemas.microsoft.com/office/drawing/2014/chart" uri="{C3380CC4-5D6E-409C-BE32-E72D297353CC}">
              <c16:uniqueId val="{00000003-2774-433B-8AB4-327C33B06FF4}"/>
            </c:ext>
          </c:extLst>
        </c:ser>
        <c:ser>
          <c:idx val="4"/>
          <c:order val="4"/>
          <c:tx>
            <c:strRef>
              <c:f>'Marital Status'!$K$22</c:f>
              <c:strCache>
                <c:ptCount val="1"/>
                <c:pt idx="0">
                  <c:v>Sum of Total Buddhist Population</c:v>
                </c:pt>
              </c:strCache>
            </c:strRef>
          </c:tx>
          <c:spPr>
            <a:solidFill>
              <a:schemeClr val="accent5"/>
            </a:solidFill>
            <a:ln>
              <a:noFill/>
            </a:ln>
            <a:effectLst/>
          </c:spPr>
          <c:invertIfNegative val="0"/>
          <c:cat>
            <c:strRef>
              <c:f>'Marital Status'!$F$23:$F$25</c:f>
              <c:strCache>
                <c:ptCount val="2"/>
                <c:pt idx="0">
                  <c:v>Rural</c:v>
                </c:pt>
                <c:pt idx="1">
                  <c:v>Urban</c:v>
                </c:pt>
              </c:strCache>
            </c:strRef>
          </c:cat>
          <c:val>
            <c:numRef>
              <c:f>'Marital Status'!$K$23:$K$25</c:f>
              <c:numCache>
                <c:formatCode>General</c:formatCode>
                <c:ptCount val="2"/>
                <c:pt idx="0">
                  <c:v>2866</c:v>
                </c:pt>
                <c:pt idx="1">
                  <c:v>9040</c:v>
                </c:pt>
              </c:numCache>
            </c:numRef>
          </c:val>
          <c:extLst>
            <c:ext xmlns:c16="http://schemas.microsoft.com/office/drawing/2014/chart" uri="{C3380CC4-5D6E-409C-BE32-E72D297353CC}">
              <c16:uniqueId val="{00000004-2774-433B-8AB4-327C33B06FF4}"/>
            </c:ext>
          </c:extLst>
        </c:ser>
        <c:ser>
          <c:idx val="5"/>
          <c:order val="5"/>
          <c:tx>
            <c:strRef>
              <c:f>'Marital Status'!$L$22</c:f>
              <c:strCache>
                <c:ptCount val="1"/>
                <c:pt idx="0">
                  <c:v>Sum of Tota Jain Population</c:v>
                </c:pt>
              </c:strCache>
            </c:strRef>
          </c:tx>
          <c:spPr>
            <a:solidFill>
              <a:schemeClr val="accent6"/>
            </a:solidFill>
            <a:ln>
              <a:noFill/>
            </a:ln>
            <a:effectLst/>
          </c:spPr>
          <c:invertIfNegative val="0"/>
          <c:cat>
            <c:strRef>
              <c:f>'Marital Status'!$F$23:$F$25</c:f>
              <c:strCache>
                <c:ptCount val="2"/>
                <c:pt idx="0">
                  <c:v>Rural</c:v>
                </c:pt>
                <c:pt idx="1">
                  <c:v>Urban</c:v>
                </c:pt>
              </c:strCache>
            </c:strRef>
          </c:cat>
          <c:val>
            <c:numRef>
              <c:f>'Marital Status'!$L$23:$L$25</c:f>
              <c:numCache>
                <c:formatCode>General</c:formatCode>
                <c:ptCount val="2"/>
                <c:pt idx="0">
                  <c:v>582</c:v>
                </c:pt>
                <c:pt idx="1">
                  <c:v>14384</c:v>
                </c:pt>
              </c:numCache>
            </c:numRef>
          </c:val>
          <c:extLst>
            <c:ext xmlns:c16="http://schemas.microsoft.com/office/drawing/2014/chart" uri="{C3380CC4-5D6E-409C-BE32-E72D297353CC}">
              <c16:uniqueId val="{00000005-2774-433B-8AB4-327C33B06FF4}"/>
            </c:ext>
          </c:extLst>
        </c:ser>
        <c:ser>
          <c:idx val="6"/>
          <c:order val="6"/>
          <c:tx>
            <c:strRef>
              <c:f>'Marital Status'!$M$22</c:f>
              <c:strCache>
                <c:ptCount val="1"/>
                <c:pt idx="0">
                  <c:v>Sum of Other Population</c:v>
                </c:pt>
              </c:strCache>
            </c:strRef>
          </c:tx>
          <c:spPr>
            <a:solidFill>
              <a:schemeClr val="accent1">
                <a:lumMod val="60000"/>
              </a:schemeClr>
            </a:solidFill>
            <a:ln>
              <a:noFill/>
            </a:ln>
            <a:effectLst/>
          </c:spPr>
          <c:invertIfNegative val="0"/>
          <c:cat>
            <c:strRef>
              <c:f>'Marital Status'!$F$23:$F$25</c:f>
              <c:strCache>
                <c:ptCount val="2"/>
                <c:pt idx="0">
                  <c:v>Rural</c:v>
                </c:pt>
                <c:pt idx="1">
                  <c:v>Urban</c:v>
                </c:pt>
              </c:strCache>
            </c:strRef>
          </c:cat>
          <c:val>
            <c:numRef>
              <c:f>'Marital Status'!$M$23:$M$25</c:f>
              <c:numCache>
                <c:formatCode>General</c:formatCode>
                <c:ptCount val="2"/>
                <c:pt idx="0">
                  <c:v>336</c:v>
                </c:pt>
                <c:pt idx="1">
                  <c:v>1174</c:v>
                </c:pt>
              </c:numCache>
            </c:numRef>
          </c:val>
          <c:extLst>
            <c:ext xmlns:c16="http://schemas.microsoft.com/office/drawing/2014/chart" uri="{C3380CC4-5D6E-409C-BE32-E72D297353CC}">
              <c16:uniqueId val="{00000006-2774-433B-8AB4-327C33B06FF4}"/>
            </c:ext>
          </c:extLst>
        </c:ser>
        <c:dLbls>
          <c:showLegendKey val="0"/>
          <c:showVal val="0"/>
          <c:showCatName val="0"/>
          <c:showSerName val="0"/>
          <c:showPercent val="0"/>
          <c:showBubbleSize val="0"/>
        </c:dLbls>
        <c:gapWidth val="150"/>
        <c:overlap val="100"/>
        <c:axId val="2133062160"/>
        <c:axId val="2133058800"/>
      </c:barChart>
      <c:catAx>
        <c:axId val="213306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058800"/>
        <c:crosses val="autoZero"/>
        <c:auto val="1"/>
        <c:lblAlgn val="ctr"/>
        <c:lblOffset val="100"/>
        <c:noMultiLvlLbl val="0"/>
      </c:catAx>
      <c:valAx>
        <c:axId val="21330588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06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Married</a:t>
            </a:r>
            <a:r>
              <a:rPr lang="en-IN" b="1" baseline="0"/>
              <a:t> Population</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doughnutChart>
        <c:varyColors val="1"/>
        <c:ser>
          <c:idx val="0"/>
          <c:order val="0"/>
          <c:spPr>
            <a:solidFill>
              <a:srgbClr val="993366"/>
            </a:solidFill>
          </c:spPr>
          <c:dPt>
            <c:idx val="0"/>
            <c:bubble3D val="0"/>
            <c:spPr>
              <a:solidFill>
                <a:srgbClr val="993366"/>
              </a:solidFill>
              <a:ln w="19050">
                <a:solidFill>
                  <a:schemeClr val="lt1"/>
                </a:solidFill>
              </a:ln>
              <a:effectLst/>
            </c:spPr>
            <c:extLst>
              <c:ext xmlns:c16="http://schemas.microsoft.com/office/drawing/2014/chart" uri="{C3380CC4-5D6E-409C-BE32-E72D297353CC}">
                <c16:uniqueId val="{00000001-688F-48A3-9951-FB9D01C27B56}"/>
              </c:ext>
            </c:extLst>
          </c:dPt>
          <c:dPt>
            <c:idx val="1"/>
            <c:bubble3D val="0"/>
            <c:spPr>
              <a:solidFill>
                <a:srgbClr val="2C92AA"/>
              </a:solidFill>
              <a:ln w="19050">
                <a:solidFill>
                  <a:schemeClr val="lt1"/>
                </a:solidFill>
              </a:ln>
              <a:effectLst/>
            </c:spPr>
            <c:extLst>
              <c:ext xmlns:c16="http://schemas.microsoft.com/office/drawing/2014/chart" uri="{C3380CC4-5D6E-409C-BE32-E72D297353CC}">
                <c16:uniqueId val="{00000003-688F-48A3-9951-FB9D01C27B56}"/>
              </c:ext>
            </c:extLst>
          </c:dPt>
          <c:dLbls>
            <c:dLbl>
              <c:idx val="0"/>
              <c:layout>
                <c:manualLayout>
                  <c:x val="0.110607874812187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88F-48A3-9951-FB9D01C27B56}"/>
                </c:ext>
              </c:extLst>
            </c:dLbl>
            <c:dLbl>
              <c:idx val="1"/>
              <c:layout>
                <c:manualLayout>
                  <c:x val="-0.13349226270436407"/>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8F-48A3-9951-FB9D01C27B5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'Marital Status'!$E$35:$E$36</c:f>
              <c:strCache>
                <c:ptCount val="2"/>
                <c:pt idx="0">
                  <c:v>% of rural married people</c:v>
                </c:pt>
                <c:pt idx="1">
                  <c:v>% of urban married people</c:v>
                </c:pt>
              </c:strCache>
            </c:strRef>
          </c:cat>
          <c:val>
            <c:numRef>
              <c:f>'Marital Status'!$F$35:$F$36</c:f>
              <c:numCache>
                <c:formatCode>0%</c:formatCode>
                <c:ptCount val="2"/>
                <c:pt idx="0">
                  <c:v>0.41433547159314488</c:v>
                </c:pt>
                <c:pt idx="1">
                  <c:v>0.46137217973698352</c:v>
                </c:pt>
              </c:numCache>
            </c:numRef>
          </c:val>
          <c:extLst>
            <c:ext xmlns:c16="http://schemas.microsoft.com/office/drawing/2014/chart" uri="{C3380CC4-5D6E-409C-BE32-E72D297353CC}">
              <c16:uniqueId val="{00000004-688F-48A3-9951-FB9D01C27B5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Married</a:t>
            </a:r>
            <a:r>
              <a:rPr lang="en-IN" b="1" baseline="0"/>
              <a:t> Vs Divorced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0"/>
        <c:ser>
          <c:idx val="0"/>
          <c:order val="0"/>
          <c:spPr>
            <a:solidFill>
              <a:schemeClr val="accent1"/>
            </a:solidFill>
            <a:ln w="19050">
              <a:solidFill>
                <a:schemeClr val="lt1"/>
              </a:solidFill>
            </a:ln>
            <a:effectLst/>
          </c:spPr>
          <c:dPt>
            <c:idx val="0"/>
            <c:bubble3D val="0"/>
            <c:spPr>
              <a:solidFill>
                <a:srgbClr val="C1E4FF"/>
              </a:solidFill>
              <a:ln w="19050">
                <a:solidFill>
                  <a:schemeClr val="lt1"/>
                </a:solidFill>
              </a:ln>
              <a:effectLst/>
            </c:spPr>
            <c:extLst>
              <c:ext xmlns:c16="http://schemas.microsoft.com/office/drawing/2014/chart" uri="{C3380CC4-5D6E-409C-BE32-E72D297353CC}">
                <c16:uniqueId val="{00000001-F70F-492C-B46B-586C3389E0AA}"/>
              </c:ext>
            </c:extLst>
          </c:dPt>
          <c:dPt>
            <c:idx val="1"/>
            <c:bubble3D val="0"/>
            <c:spPr>
              <a:solidFill>
                <a:srgbClr val="E820B8"/>
              </a:solidFill>
              <a:ln w="19050">
                <a:noFill/>
              </a:ln>
              <a:effectLst/>
            </c:spPr>
            <c:extLst>
              <c:ext xmlns:c16="http://schemas.microsoft.com/office/drawing/2014/chart" uri="{C3380CC4-5D6E-409C-BE32-E72D297353CC}">
                <c16:uniqueId val="{00000003-F70F-492C-B46B-586C3389E0A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'Marital Status'!$G$47:$G$48</c:f>
              <c:strCache>
                <c:ptCount val="2"/>
                <c:pt idx="0">
                  <c:v>% of Married Population </c:v>
                </c:pt>
                <c:pt idx="1">
                  <c:v>% of Divorced Population</c:v>
                </c:pt>
              </c:strCache>
            </c:strRef>
          </c:cat>
          <c:val>
            <c:numRef>
              <c:f>'Marital Status'!$H$47:$H$48</c:f>
              <c:numCache>
                <c:formatCode>0.0%</c:formatCode>
                <c:ptCount val="2"/>
                <c:pt idx="0" formatCode="0%">
                  <c:v>0.44544466283838319</c:v>
                </c:pt>
                <c:pt idx="1">
                  <c:v>9.4608656297190353E-4</c:v>
                </c:pt>
              </c:numCache>
            </c:numRef>
          </c:val>
          <c:extLst>
            <c:ext xmlns:c16="http://schemas.microsoft.com/office/drawing/2014/chart" uri="{C3380CC4-5D6E-409C-BE32-E72D297353CC}">
              <c16:uniqueId val="{00000004-F70F-492C-B46B-586C3389E0A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Total no. of surviving children (Male)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Total no. of surviving children (Male)</a:t>
          </a:r>
        </a:p>
      </cx:txPr>
    </cx:title>
    <cx:plotArea>
      <cx:plotAreaRegion>
        <cx:series layoutId="boxWhisker" uniqueId="{65633280-178A-434E-BC93-517E3D402664}">
          <cx:tx>
            <cx:txData>
              <cx:f>_xlchart.v1.1</cx:f>
              <cx:v>Total no. of surviving children (Male)</cx:v>
            </cx:txData>
          </cx:tx>
          <cx:spPr>
            <a:solidFill>
              <a:srgbClr val="C1E4FF"/>
            </a:solidFill>
          </cx:spPr>
          <cx:data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Total no. of surviving children (Female)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Total no. of surviving children (Female)</a:t>
          </a:r>
        </a:p>
      </cx:txPr>
    </cx:title>
    <cx:plotArea>
      <cx:plotAreaRegion>
        <cx:series layoutId="boxWhisker" uniqueId="{8F0514E6-1E8E-4606-9200-6510EC71ED01}">
          <cx:spPr>
            <a:solidFill>
              <a:srgbClr val="FFCCFF"/>
            </a:solidFill>
          </cx:spPr>
          <cx:data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3.xml"/><Relationship Id="rId13" Type="http://schemas.openxmlformats.org/officeDocument/2006/relationships/image" Target="../media/image5.svg"/><Relationship Id="rId18" Type="http://schemas.openxmlformats.org/officeDocument/2006/relationships/chart" Target="../charts/chart25.xml"/><Relationship Id="rId26" Type="http://schemas.openxmlformats.org/officeDocument/2006/relationships/chart" Target="../charts/chart32.xml"/><Relationship Id="rId3" Type="http://schemas.openxmlformats.org/officeDocument/2006/relationships/chart" Target="../charts/chart18.xml"/><Relationship Id="rId21" Type="http://schemas.openxmlformats.org/officeDocument/2006/relationships/chart" Target="../charts/chart28.xml"/><Relationship Id="rId7" Type="http://schemas.openxmlformats.org/officeDocument/2006/relationships/chart" Target="../charts/chart22.xml"/><Relationship Id="rId12" Type="http://schemas.openxmlformats.org/officeDocument/2006/relationships/image" Target="../media/image4.png"/><Relationship Id="rId17" Type="http://schemas.openxmlformats.org/officeDocument/2006/relationships/image" Target="../media/image9.svg"/><Relationship Id="rId25" Type="http://schemas.openxmlformats.org/officeDocument/2006/relationships/image" Target="../media/image10.emf"/><Relationship Id="rId2" Type="http://schemas.openxmlformats.org/officeDocument/2006/relationships/chart" Target="../charts/chart17.xml"/><Relationship Id="rId16" Type="http://schemas.openxmlformats.org/officeDocument/2006/relationships/image" Target="../media/image8.png"/><Relationship Id="rId20" Type="http://schemas.openxmlformats.org/officeDocument/2006/relationships/chart" Target="../charts/chart27.xml"/><Relationship Id="rId1" Type="http://schemas.openxmlformats.org/officeDocument/2006/relationships/image" Target="../media/image1.jpg"/><Relationship Id="rId6" Type="http://schemas.openxmlformats.org/officeDocument/2006/relationships/chart" Target="../charts/chart21.xml"/><Relationship Id="rId11" Type="http://schemas.openxmlformats.org/officeDocument/2006/relationships/image" Target="../media/image3.svg"/><Relationship Id="rId24" Type="http://schemas.openxmlformats.org/officeDocument/2006/relationships/chart" Target="../charts/chart31.xml"/><Relationship Id="rId5" Type="http://schemas.openxmlformats.org/officeDocument/2006/relationships/chart" Target="../charts/chart20.xml"/><Relationship Id="rId15" Type="http://schemas.openxmlformats.org/officeDocument/2006/relationships/image" Target="../media/image7.svg"/><Relationship Id="rId23" Type="http://schemas.openxmlformats.org/officeDocument/2006/relationships/chart" Target="../charts/chart30.xml"/><Relationship Id="rId10" Type="http://schemas.openxmlformats.org/officeDocument/2006/relationships/image" Target="../media/image2.png"/><Relationship Id="rId19" Type="http://schemas.openxmlformats.org/officeDocument/2006/relationships/chart" Target="../charts/chart26.xml"/><Relationship Id="rId4" Type="http://schemas.openxmlformats.org/officeDocument/2006/relationships/chart" Target="../charts/chart19.xml"/><Relationship Id="rId9" Type="http://schemas.openxmlformats.org/officeDocument/2006/relationships/chart" Target="../charts/chart24.xml"/><Relationship Id="rId14" Type="http://schemas.openxmlformats.org/officeDocument/2006/relationships/image" Target="../media/image6.png"/><Relationship Id="rId22"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5</xdr:col>
      <xdr:colOff>130175</xdr:colOff>
      <xdr:row>73</xdr:row>
      <xdr:rowOff>57150</xdr:rowOff>
    </xdr:from>
    <xdr:to>
      <xdr:col>7</xdr:col>
      <xdr:colOff>1762125</xdr:colOff>
      <xdr:row>88</xdr:row>
      <xdr:rowOff>38100</xdr:rowOff>
    </xdr:to>
    <xdr:graphicFrame macro="">
      <xdr:nvGraphicFramePr>
        <xdr:cNvPr id="2" name="Chart 1">
          <a:extLst>
            <a:ext uri="{FF2B5EF4-FFF2-40B4-BE49-F238E27FC236}">
              <a16:creationId xmlns:a16="http://schemas.microsoft.com/office/drawing/2014/main" id="{318EF3EB-CB35-AEFA-4EFB-6D0A56D256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95249</xdr:colOff>
      <xdr:row>96</xdr:row>
      <xdr:rowOff>120650</xdr:rowOff>
    </xdr:from>
    <xdr:to>
      <xdr:col>2</xdr:col>
      <xdr:colOff>1033638</xdr:colOff>
      <xdr:row>111</xdr:row>
      <xdr:rowOff>112183</xdr:rowOff>
    </xdr:to>
    <xdr:graphicFrame macro="">
      <xdr:nvGraphicFramePr>
        <xdr:cNvPr id="4" name="Chart 3">
          <a:extLst>
            <a:ext uri="{FF2B5EF4-FFF2-40B4-BE49-F238E27FC236}">
              <a16:creationId xmlns:a16="http://schemas.microsoft.com/office/drawing/2014/main" id="{E613BD80-ACB0-D737-3604-D62588AF51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904733</xdr:colOff>
      <xdr:row>96</xdr:row>
      <xdr:rowOff>8032</xdr:rowOff>
    </xdr:from>
    <xdr:to>
      <xdr:col>6</xdr:col>
      <xdr:colOff>590499</xdr:colOff>
      <xdr:row>109</xdr:row>
      <xdr:rowOff>15168</xdr:rowOff>
    </xdr:to>
    <xdr:graphicFrame macro="">
      <xdr:nvGraphicFramePr>
        <xdr:cNvPr id="5" name="Chart 4">
          <a:extLst>
            <a:ext uri="{FF2B5EF4-FFF2-40B4-BE49-F238E27FC236}">
              <a16:creationId xmlns:a16="http://schemas.microsoft.com/office/drawing/2014/main" id="{4B10B44E-59B0-0221-F2D2-9F54C67421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3918</xdr:colOff>
      <xdr:row>65</xdr:row>
      <xdr:rowOff>42925</xdr:rowOff>
    </xdr:from>
    <xdr:to>
      <xdr:col>21</xdr:col>
      <xdr:colOff>304100</xdr:colOff>
      <xdr:row>80</xdr:row>
      <xdr:rowOff>64696</xdr:rowOff>
    </xdr:to>
    <xdr:graphicFrame macro="">
      <xdr:nvGraphicFramePr>
        <xdr:cNvPr id="6" name="Chart 5">
          <a:extLst>
            <a:ext uri="{FF2B5EF4-FFF2-40B4-BE49-F238E27FC236}">
              <a16:creationId xmlns:a16="http://schemas.microsoft.com/office/drawing/2014/main" id="{F5C04C98-7B1F-BF45-0779-54DB89EF83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898383</xdr:colOff>
      <xdr:row>96</xdr:row>
      <xdr:rowOff>153158</xdr:rowOff>
    </xdr:from>
    <xdr:to>
      <xdr:col>7</xdr:col>
      <xdr:colOff>367257</xdr:colOff>
      <xdr:row>110</xdr:row>
      <xdr:rowOff>156238</xdr:rowOff>
    </xdr:to>
    <mc:AlternateContent xmlns:mc="http://schemas.openxmlformats.org/markup-compatibility/2006" xmlns:a14="http://schemas.microsoft.com/office/drawing/2010/main">
      <mc:Choice Requires="a14">
        <xdr:graphicFrame macro="">
          <xdr:nvGraphicFramePr>
            <xdr:cNvPr id="3" name="Educational Level">
              <a:extLst>
                <a:ext uri="{FF2B5EF4-FFF2-40B4-BE49-F238E27FC236}">
                  <a16:creationId xmlns:a16="http://schemas.microsoft.com/office/drawing/2014/main" id="{21836047-952C-D4E8-F93B-CDF1DE7ABFB2}"/>
                </a:ext>
              </a:extLst>
            </xdr:cNvPr>
            <xdr:cNvGraphicFramePr/>
          </xdr:nvGraphicFramePr>
          <xdr:xfrm>
            <a:off x="0" y="0"/>
            <a:ext cx="0" cy="0"/>
          </xdr:xfrm>
          <a:graphic>
            <a:graphicData uri="http://schemas.microsoft.com/office/drawing/2010/slicer">
              <sle:slicer xmlns:sle="http://schemas.microsoft.com/office/drawing/2010/slicer" name="Educational Level"/>
            </a:graphicData>
          </a:graphic>
        </xdr:graphicFrame>
      </mc:Choice>
      <mc:Fallback xmlns="">
        <xdr:sp macro="" textlink="">
          <xdr:nvSpPr>
            <xdr:cNvPr id="0" name=""/>
            <xdr:cNvSpPr>
              <a:spLocks noTextEdit="1"/>
            </xdr:cNvSpPr>
          </xdr:nvSpPr>
          <xdr:spPr>
            <a:xfrm>
              <a:off x="11673539" y="17953002"/>
              <a:ext cx="1830281" cy="25033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522654</xdr:colOff>
      <xdr:row>115</xdr:row>
      <xdr:rowOff>5861</xdr:rowOff>
    </xdr:from>
    <xdr:to>
      <xdr:col>6</xdr:col>
      <xdr:colOff>2202962</xdr:colOff>
      <xdr:row>129</xdr:row>
      <xdr:rowOff>140677</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E34F1DE4-88D9-ABA8-4F4E-B586EFE79B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415704" y="22383261"/>
              <a:ext cx="4563208" cy="271926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210039</xdr:colOff>
      <xdr:row>114</xdr:row>
      <xdr:rowOff>719015</xdr:rowOff>
    </xdr:from>
    <xdr:to>
      <xdr:col>10</xdr:col>
      <xdr:colOff>307732</xdr:colOff>
      <xdr:row>129</xdr:row>
      <xdr:rowOff>121138</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45EC412F-8134-568E-4943-4A013030DCA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3341839" y="22359815"/>
              <a:ext cx="4580793" cy="272317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85725</xdr:colOff>
      <xdr:row>3</xdr:row>
      <xdr:rowOff>44450</xdr:rowOff>
    </xdr:from>
    <xdr:to>
      <xdr:col>17</xdr:col>
      <xdr:colOff>390525</xdr:colOff>
      <xdr:row>18</xdr:row>
      <xdr:rowOff>25400</xdr:rowOff>
    </xdr:to>
    <xdr:graphicFrame macro="">
      <xdr:nvGraphicFramePr>
        <xdr:cNvPr id="4" name="Chart 3">
          <a:extLst>
            <a:ext uri="{FF2B5EF4-FFF2-40B4-BE49-F238E27FC236}">
              <a16:creationId xmlns:a16="http://schemas.microsoft.com/office/drawing/2014/main" id="{A75EC10B-3D9E-4BA6-01E2-4504323FD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177800</xdr:colOff>
      <xdr:row>18</xdr:row>
      <xdr:rowOff>177800</xdr:rowOff>
    </xdr:from>
    <xdr:to>
      <xdr:col>3</xdr:col>
      <xdr:colOff>885824</xdr:colOff>
      <xdr:row>33</xdr:row>
      <xdr:rowOff>158750</xdr:rowOff>
    </xdr:to>
    <xdr:graphicFrame macro="">
      <xdr:nvGraphicFramePr>
        <xdr:cNvPr id="5" name="Chart 4">
          <a:extLst>
            <a:ext uri="{FF2B5EF4-FFF2-40B4-BE49-F238E27FC236}">
              <a16:creationId xmlns:a16="http://schemas.microsoft.com/office/drawing/2014/main" id="{A02E1360-DFD5-E0D2-9FAA-59D77902EC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219075</xdr:colOff>
      <xdr:row>31</xdr:row>
      <xdr:rowOff>25400</xdr:rowOff>
    </xdr:from>
    <xdr:to>
      <xdr:col>15</xdr:col>
      <xdr:colOff>333375</xdr:colOff>
      <xdr:row>46</xdr:row>
      <xdr:rowOff>6350</xdr:rowOff>
    </xdr:to>
    <xdr:graphicFrame macro="">
      <xdr:nvGraphicFramePr>
        <xdr:cNvPr id="6" name="Chart 5">
          <a:extLst>
            <a:ext uri="{FF2B5EF4-FFF2-40B4-BE49-F238E27FC236}">
              <a16:creationId xmlns:a16="http://schemas.microsoft.com/office/drawing/2014/main" id="{9AB6D4E1-D2CD-FBCC-E8A2-1DE6748E00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289278</xdr:colOff>
      <xdr:row>5</xdr:row>
      <xdr:rowOff>78316</xdr:rowOff>
    </xdr:from>
    <xdr:to>
      <xdr:col>27</xdr:col>
      <xdr:colOff>7056</xdr:colOff>
      <xdr:row>20</xdr:row>
      <xdr:rowOff>69850</xdr:rowOff>
    </xdr:to>
    <xdr:graphicFrame macro="">
      <xdr:nvGraphicFramePr>
        <xdr:cNvPr id="8" name="Chart 7">
          <a:extLst>
            <a:ext uri="{FF2B5EF4-FFF2-40B4-BE49-F238E27FC236}">
              <a16:creationId xmlns:a16="http://schemas.microsoft.com/office/drawing/2014/main" id="{F2DFE873-92A5-890E-D9C0-3CC5155C5B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219808</xdr:colOff>
      <xdr:row>18</xdr:row>
      <xdr:rowOff>123093</xdr:rowOff>
    </xdr:from>
    <xdr:to>
      <xdr:col>10</xdr:col>
      <xdr:colOff>102577</xdr:colOff>
      <xdr:row>33</xdr:row>
      <xdr:rowOff>82062</xdr:rowOff>
    </xdr:to>
    <xdr:graphicFrame macro="">
      <xdr:nvGraphicFramePr>
        <xdr:cNvPr id="2" name="Chart 1">
          <a:extLst>
            <a:ext uri="{FF2B5EF4-FFF2-40B4-BE49-F238E27FC236}">
              <a16:creationId xmlns:a16="http://schemas.microsoft.com/office/drawing/2014/main" id="{0AECCB68-1A25-C6D5-787C-B79B08DE82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172065</xdr:colOff>
      <xdr:row>33</xdr:row>
      <xdr:rowOff>99825</xdr:rowOff>
    </xdr:from>
    <xdr:to>
      <xdr:col>3</xdr:col>
      <xdr:colOff>770194</xdr:colOff>
      <xdr:row>48</xdr:row>
      <xdr:rowOff>77703</xdr:rowOff>
    </xdr:to>
    <xdr:graphicFrame macro="">
      <xdr:nvGraphicFramePr>
        <xdr:cNvPr id="2" name="Chart 1">
          <a:extLst>
            <a:ext uri="{FF2B5EF4-FFF2-40B4-BE49-F238E27FC236}">
              <a16:creationId xmlns:a16="http://schemas.microsoft.com/office/drawing/2014/main" id="{ADF2EB66-930F-E571-ED9F-F4252C0DD4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640293</xdr:colOff>
      <xdr:row>29</xdr:row>
      <xdr:rowOff>25400</xdr:rowOff>
    </xdr:from>
    <xdr:to>
      <xdr:col>7</xdr:col>
      <xdr:colOff>1090084</xdr:colOff>
      <xdr:row>44</xdr:row>
      <xdr:rowOff>69850</xdr:rowOff>
    </xdr:to>
    <xdr:graphicFrame macro="">
      <xdr:nvGraphicFramePr>
        <xdr:cNvPr id="4" name="Chart 3">
          <a:extLst>
            <a:ext uri="{FF2B5EF4-FFF2-40B4-BE49-F238E27FC236}">
              <a16:creationId xmlns:a16="http://schemas.microsoft.com/office/drawing/2014/main" id="{051FE7B4-6C7A-8540-7BE1-12C24DCC8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15875</xdr:colOff>
      <xdr:row>33</xdr:row>
      <xdr:rowOff>4233</xdr:rowOff>
    </xdr:from>
    <xdr:to>
      <xdr:col>10</xdr:col>
      <xdr:colOff>936625</xdr:colOff>
      <xdr:row>48</xdr:row>
      <xdr:rowOff>48683</xdr:rowOff>
    </xdr:to>
    <xdr:graphicFrame macro="">
      <xdr:nvGraphicFramePr>
        <xdr:cNvPr id="5" name="Chart 4">
          <a:extLst>
            <a:ext uri="{FF2B5EF4-FFF2-40B4-BE49-F238E27FC236}">
              <a16:creationId xmlns:a16="http://schemas.microsoft.com/office/drawing/2014/main" id="{DCFA08AD-3AE9-CA69-976B-69120D0860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410953</xdr:colOff>
      <xdr:row>23</xdr:row>
      <xdr:rowOff>182392</xdr:rowOff>
    </xdr:from>
    <xdr:to>
      <xdr:col>14</xdr:col>
      <xdr:colOff>192245</xdr:colOff>
      <xdr:row>38</xdr:row>
      <xdr:rowOff>117601</xdr:rowOff>
    </xdr:to>
    <xdr:graphicFrame macro="">
      <xdr:nvGraphicFramePr>
        <xdr:cNvPr id="6" name="Chart 5">
          <a:extLst>
            <a:ext uri="{FF2B5EF4-FFF2-40B4-BE49-F238E27FC236}">
              <a16:creationId xmlns:a16="http://schemas.microsoft.com/office/drawing/2014/main" id="{EEF9301C-B16A-30BE-5637-BFBDF8068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1118695</xdr:colOff>
      <xdr:row>29</xdr:row>
      <xdr:rowOff>156560</xdr:rowOff>
    </xdr:from>
    <xdr:to>
      <xdr:col>7</xdr:col>
      <xdr:colOff>2947495</xdr:colOff>
      <xdr:row>43</xdr:row>
      <xdr:rowOff>74995</xdr:rowOff>
    </xdr:to>
    <mc:AlternateContent xmlns:mc="http://schemas.openxmlformats.org/markup-compatibility/2006" xmlns:a14="http://schemas.microsoft.com/office/drawing/2010/main">
      <mc:Choice Requires="a14">
        <xdr:graphicFrame macro="">
          <xdr:nvGraphicFramePr>
            <xdr:cNvPr id="7" name="Age Group">
              <a:extLst>
                <a:ext uri="{FF2B5EF4-FFF2-40B4-BE49-F238E27FC236}">
                  <a16:creationId xmlns:a16="http://schemas.microsoft.com/office/drawing/2014/main" id="{744D4A82-D918-A8BC-8374-9872D1B65244}"/>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8935764" y="618906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983575</xdr:colOff>
      <xdr:row>27</xdr:row>
      <xdr:rowOff>33507</xdr:rowOff>
    </xdr:from>
    <xdr:to>
      <xdr:col>8</xdr:col>
      <xdr:colOff>1569937</xdr:colOff>
      <xdr:row>41</xdr:row>
      <xdr:rowOff>128622</xdr:rowOff>
    </xdr:to>
    <xdr:graphicFrame macro="">
      <xdr:nvGraphicFramePr>
        <xdr:cNvPr id="2" name="Chart 1">
          <a:extLst>
            <a:ext uri="{FF2B5EF4-FFF2-40B4-BE49-F238E27FC236}">
              <a16:creationId xmlns:a16="http://schemas.microsoft.com/office/drawing/2014/main" id="{6D275F48-E2A6-AAB5-BAC5-610DBAE7BD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1627717</xdr:colOff>
      <xdr:row>27</xdr:row>
      <xdr:rowOff>153459</xdr:rowOff>
    </xdr:from>
    <xdr:to>
      <xdr:col>9</xdr:col>
      <xdr:colOff>742711</xdr:colOff>
      <xdr:row>41</xdr:row>
      <xdr:rowOff>84668</xdr:rowOff>
    </xdr:to>
    <mc:AlternateContent xmlns:mc="http://schemas.openxmlformats.org/markup-compatibility/2006" xmlns:a14="http://schemas.microsoft.com/office/drawing/2010/main">
      <mc:Choice Requires="a14">
        <xdr:graphicFrame macro="">
          <xdr:nvGraphicFramePr>
            <xdr:cNvPr id="3" name="Marital Status">
              <a:extLst>
                <a:ext uri="{FF2B5EF4-FFF2-40B4-BE49-F238E27FC236}">
                  <a16:creationId xmlns:a16="http://schemas.microsoft.com/office/drawing/2014/main" id="{AA955821-90A1-ACF0-F99D-25376FCA049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2075264" y="5197516"/>
              <a:ext cx="1824593" cy="24472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1592873</xdr:colOff>
      <xdr:row>29</xdr:row>
      <xdr:rowOff>83598</xdr:rowOff>
    </xdr:from>
    <xdr:to>
      <xdr:col>10</xdr:col>
      <xdr:colOff>1003507</xdr:colOff>
      <xdr:row>35</xdr:row>
      <xdr:rowOff>9072</xdr:rowOff>
    </xdr:to>
    <mc:AlternateContent xmlns:mc="http://schemas.openxmlformats.org/markup-compatibility/2006" xmlns:a14="http://schemas.microsoft.com/office/drawing/2010/main">
      <mc:Choice Requires="a14">
        <xdr:graphicFrame macro="">
          <xdr:nvGraphicFramePr>
            <xdr:cNvPr id="4" name="Urban/Rural">
              <a:extLst>
                <a:ext uri="{FF2B5EF4-FFF2-40B4-BE49-F238E27FC236}">
                  <a16:creationId xmlns:a16="http://schemas.microsoft.com/office/drawing/2014/main" id="{22BF780E-41DC-D03F-BE99-5C207190E918}"/>
                </a:ext>
              </a:extLst>
            </xdr:cNvPr>
            <xdr:cNvGraphicFramePr/>
          </xdr:nvGraphicFramePr>
          <xdr:xfrm>
            <a:off x="0" y="0"/>
            <a:ext cx="0" cy="0"/>
          </xdr:xfrm>
          <a:graphic>
            <a:graphicData uri="http://schemas.microsoft.com/office/drawing/2010/slicer">
              <sle:slicer xmlns:sle="http://schemas.microsoft.com/office/drawing/2010/slicer" name="Urban/Rural"/>
            </a:graphicData>
          </a:graphic>
        </xdr:graphicFrame>
      </mc:Choice>
      <mc:Fallback xmlns="">
        <xdr:sp macro="" textlink="">
          <xdr:nvSpPr>
            <xdr:cNvPr id="0" name=""/>
            <xdr:cNvSpPr>
              <a:spLocks noTextEdit="1"/>
            </xdr:cNvSpPr>
          </xdr:nvSpPr>
          <xdr:spPr>
            <a:xfrm>
              <a:off x="13512730" y="5716955"/>
              <a:ext cx="1841777" cy="1014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1385534</xdr:colOff>
      <xdr:row>37</xdr:row>
      <xdr:rowOff>14377</xdr:rowOff>
    </xdr:from>
    <xdr:to>
      <xdr:col>5</xdr:col>
      <xdr:colOff>1208264</xdr:colOff>
      <xdr:row>49</xdr:row>
      <xdr:rowOff>88195</xdr:rowOff>
    </xdr:to>
    <xdr:graphicFrame macro="">
      <xdr:nvGraphicFramePr>
        <xdr:cNvPr id="5" name="Chart 4">
          <a:extLst>
            <a:ext uri="{FF2B5EF4-FFF2-40B4-BE49-F238E27FC236}">
              <a16:creationId xmlns:a16="http://schemas.microsoft.com/office/drawing/2014/main" id="{8A6B5DA9-B5F8-9923-B2BC-FE52E33DCE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1099343</xdr:colOff>
      <xdr:row>49</xdr:row>
      <xdr:rowOff>5555</xdr:rowOff>
    </xdr:from>
    <xdr:to>
      <xdr:col>7</xdr:col>
      <xdr:colOff>1524000</xdr:colOff>
      <xdr:row>64</xdr:row>
      <xdr:rowOff>10317</xdr:rowOff>
    </xdr:to>
    <xdr:graphicFrame macro="">
      <xdr:nvGraphicFramePr>
        <xdr:cNvPr id="9" name="Chart 8">
          <a:extLst>
            <a:ext uri="{FF2B5EF4-FFF2-40B4-BE49-F238E27FC236}">
              <a16:creationId xmlns:a16="http://schemas.microsoft.com/office/drawing/2014/main" id="{CD89C8AB-FDEC-B79E-0B6F-037D8A6486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40</xdr:col>
      <xdr:colOff>721</xdr:colOff>
      <xdr:row>72</xdr:row>
      <xdr:rowOff>15488</xdr:rowOff>
    </xdr:to>
    <xdr:pic>
      <xdr:nvPicPr>
        <xdr:cNvPr id="5" name="Picture 4">
          <a:extLst>
            <a:ext uri="{FF2B5EF4-FFF2-40B4-BE49-F238E27FC236}">
              <a16:creationId xmlns:a16="http://schemas.microsoft.com/office/drawing/2014/main" id="{7C73128F-4577-9FB6-2AA7-5BB022BF147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4161697" cy="12653537"/>
        </a:xfrm>
        <a:prstGeom prst="rect">
          <a:avLst/>
        </a:prstGeom>
      </xdr:spPr>
    </xdr:pic>
    <xdr:clientData/>
  </xdr:twoCellAnchor>
  <xdr:twoCellAnchor>
    <xdr:from>
      <xdr:col>9</xdr:col>
      <xdr:colOff>603303</xdr:colOff>
      <xdr:row>4</xdr:row>
      <xdr:rowOff>14767</xdr:rowOff>
    </xdr:from>
    <xdr:to>
      <xdr:col>10</xdr:col>
      <xdr:colOff>0</xdr:colOff>
      <xdr:row>72</xdr:row>
      <xdr:rowOff>0</xdr:rowOff>
    </xdr:to>
    <xdr:cxnSp macro="">
      <xdr:nvCxnSpPr>
        <xdr:cNvPr id="7" name="Straight Connector 6">
          <a:extLst>
            <a:ext uri="{FF2B5EF4-FFF2-40B4-BE49-F238E27FC236}">
              <a16:creationId xmlns:a16="http://schemas.microsoft.com/office/drawing/2014/main" id="{522FFCFB-743C-D8C0-1137-1BF1EB3CC66F}"/>
            </a:ext>
          </a:extLst>
        </xdr:cNvPr>
        <xdr:cNvCxnSpPr/>
      </xdr:nvCxnSpPr>
      <xdr:spPr>
        <a:xfrm>
          <a:off x="6039523" y="14767"/>
          <a:ext cx="721" cy="12623282"/>
        </a:xfrm>
        <a:prstGeom prst="line">
          <a:avLst/>
        </a:prstGeom>
        <a:ln w="76200">
          <a:solidFill>
            <a:schemeClr val="accent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361</xdr:colOff>
      <xdr:row>4</xdr:row>
      <xdr:rowOff>0</xdr:rowOff>
    </xdr:from>
    <xdr:to>
      <xdr:col>20</xdr:col>
      <xdr:colOff>14047</xdr:colOff>
      <xdr:row>72</xdr:row>
      <xdr:rowOff>15488</xdr:rowOff>
    </xdr:to>
    <xdr:cxnSp macro="">
      <xdr:nvCxnSpPr>
        <xdr:cNvPr id="9" name="Straight Connector 8">
          <a:extLst>
            <a:ext uri="{FF2B5EF4-FFF2-40B4-BE49-F238E27FC236}">
              <a16:creationId xmlns:a16="http://schemas.microsoft.com/office/drawing/2014/main" id="{E5DBBE54-A3BE-859A-A37C-2AA935C3F944}"/>
            </a:ext>
          </a:extLst>
        </xdr:cNvPr>
        <xdr:cNvCxnSpPr>
          <a:endCxn id="5" idx="2"/>
        </xdr:cNvCxnSpPr>
      </xdr:nvCxnSpPr>
      <xdr:spPr>
        <a:xfrm flipH="1">
          <a:off x="12080849" y="0"/>
          <a:ext cx="13686" cy="12653537"/>
        </a:xfrm>
        <a:prstGeom prst="line">
          <a:avLst/>
        </a:prstGeom>
        <a:ln w="76200">
          <a:solidFill>
            <a:srgbClr val="7030A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2160</xdr:colOff>
      <xdr:row>4</xdr:row>
      <xdr:rowOff>15488</xdr:rowOff>
    </xdr:from>
    <xdr:to>
      <xdr:col>30</xdr:col>
      <xdr:colOff>30975</xdr:colOff>
      <xdr:row>71</xdr:row>
      <xdr:rowOff>123903</xdr:rowOff>
    </xdr:to>
    <xdr:cxnSp macro="">
      <xdr:nvCxnSpPr>
        <xdr:cNvPr id="11" name="Straight Connector 10">
          <a:extLst>
            <a:ext uri="{FF2B5EF4-FFF2-40B4-BE49-F238E27FC236}">
              <a16:creationId xmlns:a16="http://schemas.microsoft.com/office/drawing/2014/main" id="{9EB9D273-947C-08B1-E9F9-6F478A5D01AC}"/>
            </a:ext>
          </a:extLst>
        </xdr:cNvPr>
        <xdr:cNvCxnSpPr/>
      </xdr:nvCxnSpPr>
      <xdr:spPr>
        <a:xfrm>
          <a:off x="18122892" y="15488"/>
          <a:ext cx="28815" cy="12560610"/>
        </a:xfrm>
        <a:prstGeom prst="line">
          <a:avLst/>
        </a:prstGeom>
        <a:ln w="76200">
          <a:solidFill>
            <a:srgbClr val="E820B8"/>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77439</xdr:colOff>
      <xdr:row>4</xdr:row>
      <xdr:rowOff>87885</xdr:rowOff>
    </xdr:from>
    <xdr:to>
      <xdr:col>39</xdr:col>
      <xdr:colOff>418171</xdr:colOff>
      <xdr:row>7</xdr:row>
      <xdr:rowOff>77439</xdr:rowOff>
    </xdr:to>
    <xdr:sp macro="" textlink="">
      <xdr:nvSpPr>
        <xdr:cNvPr id="17" name="TextBox 16">
          <a:extLst>
            <a:ext uri="{FF2B5EF4-FFF2-40B4-BE49-F238E27FC236}">
              <a16:creationId xmlns:a16="http://schemas.microsoft.com/office/drawing/2014/main" id="{94A1A7AE-EC9E-4CFB-B12C-B3B6CA3F407C}"/>
            </a:ext>
          </a:extLst>
        </xdr:cNvPr>
        <xdr:cNvSpPr txBox="1"/>
      </xdr:nvSpPr>
      <xdr:spPr>
        <a:xfrm>
          <a:off x="18198171" y="87885"/>
          <a:ext cx="5776951" cy="547115"/>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400" b="1">
              <a:solidFill>
                <a:schemeClr val="bg1"/>
              </a:solidFill>
            </a:rPr>
            <a:t>MARITAL</a:t>
          </a:r>
          <a:r>
            <a:rPr lang="en-IN" sz="2400" b="1" baseline="0">
              <a:solidFill>
                <a:schemeClr val="bg1"/>
              </a:solidFill>
            </a:rPr>
            <a:t> STATUS BY RELIGION 2011</a:t>
          </a:r>
          <a:endParaRPr lang="en-IN" sz="2400" b="1">
            <a:solidFill>
              <a:schemeClr val="bg1"/>
            </a:solidFill>
          </a:endParaRPr>
        </a:p>
      </xdr:txBody>
    </xdr:sp>
    <xdr:clientData/>
  </xdr:twoCellAnchor>
  <xdr:twoCellAnchor>
    <xdr:from>
      <xdr:col>20</xdr:col>
      <xdr:colOff>154155</xdr:colOff>
      <xdr:row>4</xdr:row>
      <xdr:rowOff>138671</xdr:rowOff>
    </xdr:from>
    <xdr:to>
      <xdr:col>29</xdr:col>
      <xdr:colOff>494887</xdr:colOff>
      <xdr:row>7</xdr:row>
      <xdr:rowOff>128225</xdr:rowOff>
    </xdr:to>
    <xdr:sp macro="" textlink="">
      <xdr:nvSpPr>
        <xdr:cNvPr id="34" name="TextBox 33">
          <a:extLst>
            <a:ext uri="{FF2B5EF4-FFF2-40B4-BE49-F238E27FC236}">
              <a16:creationId xmlns:a16="http://schemas.microsoft.com/office/drawing/2014/main" id="{0DD32F1C-F7A6-4CF2-BBE8-E790E009724B}"/>
            </a:ext>
          </a:extLst>
        </xdr:cNvPr>
        <xdr:cNvSpPr txBox="1"/>
      </xdr:nvSpPr>
      <xdr:spPr>
        <a:xfrm>
          <a:off x="12234643" y="138671"/>
          <a:ext cx="5776951" cy="547115"/>
        </a:xfrm>
        <a:prstGeom prst="rect">
          <a:avLst/>
        </a:prstGeom>
        <a:solidFill>
          <a:srgbClr val="2C92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400" b="1">
              <a:solidFill>
                <a:schemeClr val="bg1"/>
              </a:solidFill>
            </a:rPr>
            <a:t>    EDUCATION</a:t>
          </a:r>
          <a:r>
            <a:rPr lang="en-IN" sz="2400" b="1" baseline="0">
              <a:solidFill>
                <a:schemeClr val="bg1"/>
              </a:solidFill>
            </a:rPr>
            <a:t> STATUS 2011</a:t>
          </a:r>
          <a:endParaRPr lang="en-IN" sz="2400" b="1">
            <a:solidFill>
              <a:schemeClr val="bg1"/>
            </a:solidFill>
          </a:endParaRPr>
        </a:p>
      </xdr:txBody>
    </xdr:sp>
    <xdr:clientData/>
  </xdr:twoCellAnchor>
  <xdr:twoCellAnchor>
    <xdr:from>
      <xdr:col>10</xdr:col>
      <xdr:colOff>107692</xdr:colOff>
      <xdr:row>4</xdr:row>
      <xdr:rowOff>154159</xdr:rowOff>
    </xdr:from>
    <xdr:to>
      <xdr:col>19</xdr:col>
      <xdr:colOff>448424</xdr:colOff>
      <xdr:row>7</xdr:row>
      <xdr:rowOff>143713</xdr:rowOff>
    </xdr:to>
    <xdr:sp macro="" textlink="">
      <xdr:nvSpPr>
        <xdr:cNvPr id="35" name="TextBox 34">
          <a:extLst>
            <a:ext uri="{FF2B5EF4-FFF2-40B4-BE49-F238E27FC236}">
              <a16:creationId xmlns:a16="http://schemas.microsoft.com/office/drawing/2014/main" id="{D5DA966B-228A-488A-B67F-6645E52A29F1}"/>
            </a:ext>
          </a:extLst>
        </xdr:cNvPr>
        <xdr:cNvSpPr txBox="1"/>
      </xdr:nvSpPr>
      <xdr:spPr>
        <a:xfrm>
          <a:off x="6147936" y="154159"/>
          <a:ext cx="5776951" cy="547115"/>
        </a:xfrm>
        <a:prstGeom prst="rect">
          <a:avLst/>
        </a:prstGeom>
        <a:solidFill>
          <a:srgbClr val="FFC41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400" b="1">
              <a:solidFill>
                <a:schemeClr val="bg1"/>
              </a:solidFill>
            </a:rPr>
            <a:t>    POPULATION</a:t>
          </a:r>
          <a:r>
            <a:rPr lang="en-IN" sz="2400" b="1" baseline="0">
              <a:solidFill>
                <a:schemeClr val="bg1"/>
              </a:solidFill>
            </a:rPr>
            <a:t> 2011</a:t>
          </a:r>
          <a:endParaRPr lang="en-IN" sz="2400" b="1">
            <a:solidFill>
              <a:schemeClr val="bg1"/>
            </a:solidFill>
          </a:endParaRPr>
        </a:p>
      </xdr:txBody>
    </xdr:sp>
    <xdr:clientData/>
  </xdr:twoCellAnchor>
  <xdr:twoCellAnchor>
    <xdr:from>
      <xdr:col>0</xdr:col>
      <xdr:colOff>139390</xdr:colOff>
      <xdr:row>4</xdr:row>
      <xdr:rowOff>154878</xdr:rowOff>
    </xdr:from>
    <xdr:to>
      <xdr:col>9</xdr:col>
      <xdr:colOff>480121</xdr:colOff>
      <xdr:row>7</xdr:row>
      <xdr:rowOff>144432</xdr:rowOff>
    </xdr:to>
    <xdr:sp macro="" textlink="">
      <xdr:nvSpPr>
        <xdr:cNvPr id="36" name="TextBox 35">
          <a:extLst>
            <a:ext uri="{FF2B5EF4-FFF2-40B4-BE49-F238E27FC236}">
              <a16:creationId xmlns:a16="http://schemas.microsoft.com/office/drawing/2014/main" id="{A360568C-6D91-4B79-A03B-67643CFF1FEA}"/>
            </a:ext>
          </a:extLst>
        </xdr:cNvPr>
        <xdr:cNvSpPr txBox="1"/>
      </xdr:nvSpPr>
      <xdr:spPr>
        <a:xfrm>
          <a:off x="139390" y="154878"/>
          <a:ext cx="5776951" cy="54711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400" b="1">
              <a:solidFill>
                <a:schemeClr val="bg1"/>
              </a:solidFill>
            </a:rPr>
            <a:t>   SURVIVING</a:t>
          </a:r>
          <a:r>
            <a:rPr lang="en-IN" sz="2400" b="1" baseline="0">
              <a:solidFill>
                <a:schemeClr val="bg1"/>
              </a:solidFill>
            </a:rPr>
            <a:t> CHILDREN  2011</a:t>
          </a:r>
          <a:endParaRPr lang="en-IN" sz="2400" b="1">
            <a:solidFill>
              <a:schemeClr val="bg1"/>
            </a:solidFill>
          </a:endParaRPr>
        </a:p>
      </xdr:txBody>
    </xdr:sp>
    <xdr:clientData/>
  </xdr:twoCellAnchor>
  <xdr:twoCellAnchor>
    <xdr:from>
      <xdr:col>0</xdr:col>
      <xdr:colOff>154878</xdr:colOff>
      <xdr:row>24</xdr:row>
      <xdr:rowOff>61951</xdr:rowOff>
    </xdr:from>
    <xdr:to>
      <xdr:col>9</xdr:col>
      <xdr:colOff>480121</xdr:colOff>
      <xdr:row>39</xdr:row>
      <xdr:rowOff>12332</xdr:rowOff>
    </xdr:to>
    <xdr:graphicFrame macro="">
      <xdr:nvGraphicFramePr>
        <xdr:cNvPr id="38" name="Chart 37">
          <a:extLst>
            <a:ext uri="{FF2B5EF4-FFF2-40B4-BE49-F238E27FC236}">
              <a16:creationId xmlns:a16="http://schemas.microsoft.com/office/drawing/2014/main" id="{44772449-F13B-444A-B5A8-ABC9569F4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92927</xdr:colOff>
      <xdr:row>8</xdr:row>
      <xdr:rowOff>108414</xdr:rowOff>
    </xdr:from>
    <xdr:to>
      <xdr:col>13</xdr:col>
      <xdr:colOff>542073</xdr:colOff>
      <xdr:row>24</xdr:row>
      <xdr:rowOff>2070</xdr:rowOff>
    </xdr:to>
    <xdr:graphicFrame macro="">
      <xdr:nvGraphicFramePr>
        <xdr:cNvPr id="44" name="Chart 43">
          <a:extLst>
            <a:ext uri="{FF2B5EF4-FFF2-40B4-BE49-F238E27FC236}">
              <a16:creationId xmlns:a16="http://schemas.microsoft.com/office/drawing/2014/main" id="{3289C6C6-BBB8-4515-AA82-7A5597F24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92927</xdr:colOff>
      <xdr:row>40</xdr:row>
      <xdr:rowOff>77438</xdr:rowOff>
    </xdr:from>
    <xdr:to>
      <xdr:col>19</xdr:col>
      <xdr:colOff>480122</xdr:colOff>
      <xdr:row>55</xdr:row>
      <xdr:rowOff>156946</xdr:rowOff>
    </xdr:to>
    <xdr:graphicFrame macro="">
      <xdr:nvGraphicFramePr>
        <xdr:cNvPr id="45" name="Chart 44">
          <a:extLst>
            <a:ext uri="{FF2B5EF4-FFF2-40B4-BE49-F238E27FC236}">
              <a16:creationId xmlns:a16="http://schemas.microsoft.com/office/drawing/2014/main" id="{4677054D-2138-4D41-9DDE-6AA1D15D0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588537</xdr:colOff>
      <xdr:row>8</xdr:row>
      <xdr:rowOff>123902</xdr:rowOff>
    </xdr:from>
    <xdr:to>
      <xdr:col>19</xdr:col>
      <xdr:colOff>526586</xdr:colOff>
      <xdr:row>24</xdr:row>
      <xdr:rowOff>28142</xdr:rowOff>
    </xdr:to>
    <xdr:graphicFrame macro="">
      <xdr:nvGraphicFramePr>
        <xdr:cNvPr id="47" name="Chart 46">
          <a:extLst>
            <a:ext uri="{FF2B5EF4-FFF2-40B4-BE49-F238E27FC236}">
              <a16:creationId xmlns:a16="http://schemas.microsoft.com/office/drawing/2014/main" id="{45FFC6B3-0129-4619-8706-5D221F908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170366</xdr:colOff>
      <xdr:row>8</xdr:row>
      <xdr:rowOff>108414</xdr:rowOff>
    </xdr:from>
    <xdr:to>
      <xdr:col>29</xdr:col>
      <xdr:colOff>495610</xdr:colOff>
      <xdr:row>23</xdr:row>
      <xdr:rowOff>90297</xdr:rowOff>
    </xdr:to>
    <xdr:graphicFrame macro="">
      <xdr:nvGraphicFramePr>
        <xdr:cNvPr id="48" name="Chart 47">
          <a:extLst>
            <a:ext uri="{FF2B5EF4-FFF2-40B4-BE49-F238E27FC236}">
              <a16:creationId xmlns:a16="http://schemas.microsoft.com/office/drawing/2014/main" id="{E47FE085-0533-4CAD-9139-61E2E7E79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170365</xdr:colOff>
      <xdr:row>24</xdr:row>
      <xdr:rowOff>15488</xdr:rowOff>
    </xdr:from>
    <xdr:to>
      <xdr:col>26</xdr:col>
      <xdr:colOff>278780</xdr:colOff>
      <xdr:row>39</xdr:row>
      <xdr:rowOff>63943</xdr:rowOff>
    </xdr:to>
    <xdr:graphicFrame macro="">
      <xdr:nvGraphicFramePr>
        <xdr:cNvPr id="49" name="Chart 48">
          <a:extLst>
            <a:ext uri="{FF2B5EF4-FFF2-40B4-BE49-F238E27FC236}">
              <a16:creationId xmlns:a16="http://schemas.microsoft.com/office/drawing/2014/main" id="{203956CB-5563-463A-B68A-A426A6FFC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26</xdr:col>
      <xdr:colOff>433659</xdr:colOff>
      <xdr:row>24</xdr:row>
      <xdr:rowOff>30975</xdr:rowOff>
    </xdr:from>
    <xdr:to>
      <xdr:col>29</xdr:col>
      <xdr:colOff>450386</xdr:colOff>
      <xdr:row>39</xdr:row>
      <xdr:rowOff>61951</xdr:rowOff>
    </xdr:to>
    <mc:AlternateContent xmlns:mc="http://schemas.openxmlformats.org/markup-compatibility/2006" xmlns:a14="http://schemas.microsoft.com/office/drawing/2010/main">
      <mc:Choice Requires="a14">
        <xdr:graphicFrame macro="">
          <xdr:nvGraphicFramePr>
            <xdr:cNvPr id="50" name="Age Group 1">
              <a:extLst>
                <a:ext uri="{FF2B5EF4-FFF2-40B4-BE49-F238E27FC236}">
                  <a16:creationId xmlns:a16="http://schemas.microsoft.com/office/drawing/2014/main" id="{910C3E89-22ED-4715-81AC-C4BA1311E059}"/>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16354016" y="3659546"/>
              <a:ext cx="1853691" cy="27524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154877</xdr:colOff>
      <xdr:row>39</xdr:row>
      <xdr:rowOff>108413</xdr:rowOff>
    </xdr:from>
    <xdr:to>
      <xdr:col>29</xdr:col>
      <xdr:colOff>433658</xdr:colOff>
      <xdr:row>55</xdr:row>
      <xdr:rowOff>108413</xdr:rowOff>
    </xdr:to>
    <xdr:graphicFrame macro="">
      <xdr:nvGraphicFramePr>
        <xdr:cNvPr id="51" name="Chart 50">
          <a:extLst>
            <a:ext uri="{FF2B5EF4-FFF2-40B4-BE49-F238E27FC236}">
              <a16:creationId xmlns:a16="http://schemas.microsoft.com/office/drawing/2014/main" id="{9A416F73-D551-49AB-B08D-AA75F09C3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170367</xdr:colOff>
      <xdr:row>55</xdr:row>
      <xdr:rowOff>185852</xdr:rowOff>
    </xdr:from>
    <xdr:to>
      <xdr:col>29</xdr:col>
      <xdr:colOff>464635</xdr:colOff>
      <xdr:row>71</xdr:row>
      <xdr:rowOff>92927</xdr:rowOff>
    </xdr:to>
    <xdr:graphicFrame macro="">
      <xdr:nvGraphicFramePr>
        <xdr:cNvPr id="52" name="Chart 51">
          <a:extLst>
            <a:ext uri="{FF2B5EF4-FFF2-40B4-BE49-F238E27FC236}">
              <a16:creationId xmlns:a16="http://schemas.microsoft.com/office/drawing/2014/main" id="{2DEF6516-6BAA-4AC7-B51A-CD238504E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30</xdr:col>
      <xdr:colOff>146274</xdr:colOff>
      <xdr:row>44</xdr:row>
      <xdr:rowOff>179277</xdr:rowOff>
    </xdr:from>
    <xdr:to>
      <xdr:col>34</xdr:col>
      <xdr:colOff>473730</xdr:colOff>
      <xdr:row>50</xdr:row>
      <xdr:rowOff>40317</xdr:rowOff>
    </xdr:to>
    <mc:AlternateContent xmlns:mc="http://schemas.openxmlformats.org/markup-compatibility/2006" xmlns:a14="http://schemas.microsoft.com/office/drawing/2010/main">
      <mc:Choice Requires="a14">
        <xdr:graphicFrame macro="">
          <xdr:nvGraphicFramePr>
            <xdr:cNvPr id="56" name="Marital Status 1">
              <a:extLst>
                <a:ext uri="{FF2B5EF4-FFF2-40B4-BE49-F238E27FC236}">
                  <a16:creationId xmlns:a16="http://schemas.microsoft.com/office/drawing/2014/main" id="{2D54790F-EC0D-42E9-B4A6-F6DA8077815E}"/>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18243774" y="7799277"/>
              <a:ext cx="2740456" cy="1004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544285</xdr:colOff>
      <xdr:row>44</xdr:row>
      <xdr:rowOff>176624</xdr:rowOff>
    </xdr:from>
    <xdr:to>
      <xdr:col>39</xdr:col>
      <xdr:colOff>475595</xdr:colOff>
      <xdr:row>50</xdr:row>
      <xdr:rowOff>50397</xdr:rowOff>
    </xdr:to>
    <mc:AlternateContent xmlns:mc="http://schemas.openxmlformats.org/markup-compatibility/2006" xmlns:a14="http://schemas.microsoft.com/office/drawing/2010/main">
      <mc:Choice Requires="a14">
        <xdr:graphicFrame macro="">
          <xdr:nvGraphicFramePr>
            <xdr:cNvPr id="57" name="Urban/Rural 1">
              <a:extLst>
                <a:ext uri="{FF2B5EF4-FFF2-40B4-BE49-F238E27FC236}">
                  <a16:creationId xmlns:a16="http://schemas.microsoft.com/office/drawing/2014/main" id="{8254F394-850A-4543-B82E-A630B9CC0734}"/>
                </a:ext>
              </a:extLst>
            </xdr:cNvPr>
            <xdr:cNvGraphicFramePr/>
          </xdr:nvGraphicFramePr>
          <xdr:xfrm>
            <a:off x="0" y="0"/>
            <a:ext cx="0" cy="0"/>
          </xdr:xfrm>
          <a:graphic>
            <a:graphicData uri="http://schemas.microsoft.com/office/drawing/2010/slicer">
              <sle:slicer xmlns:sle="http://schemas.microsoft.com/office/drawing/2010/slicer" name="Urban/Rural 1"/>
            </a:graphicData>
          </a:graphic>
        </xdr:graphicFrame>
      </mc:Choice>
      <mc:Fallback xmlns="">
        <xdr:sp macro="" textlink="">
          <xdr:nvSpPr>
            <xdr:cNvPr id="0" name=""/>
            <xdr:cNvSpPr>
              <a:spLocks noTextEdit="1"/>
            </xdr:cNvSpPr>
          </xdr:nvSpPr>
          <xdr:spPr>
            <a:xfrm>
              <a:off x="21054785" y="7796624"/>
              <a:ext cx="2947560" cy="1016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385535</xdr:colOff>
      <xdr:row>4</xdr:row>
      <xdr:rowOff>162821</xdr:rowOff>
    </xdr:from>
    <xdr:to>
      <xdr:col>9</xdr:col>
      <xdr:colOff>75292</xdr:colOff>
      <xdr:row>7</xdr:row>
      <xdr:rowOff>130256</xdr:rowOff>
    </xdr:to>
    <xdr:pic>
      <xdr:nvPicPr>
        <xdr:cNvPr id="60" name="Graphic 59" descr="Woman with baby">
          <a:extLst>
            <a:ext uri="{FF2B5EF4-FFF2-40B4-BE49-F238E27FC236}">
              <a16:creationId xmlns:a16="http://schemas.microsoft.com/office/drawing/2014/main" id="{E96B8219-D1D2-43E1-3E7A-2120DAC0610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659573" y="162821"/>
          <a:ext cx="910911" cy="529166"/>
        </a:xfrm>
        <a:prstGeom prst="rect">
          <a:avLst/>
        </a:prstGeom>
      </xdr:spPr>
    </xdr:pic>
    <xdr:clientData/>
  </xdr:twoCellAnchor>
  <xdr:twoCellAnchor editAs="oneCell">
    <xdr:from>
      <xdr:col>17</xdr:col>
      <xdr:colOff>476250</xdr:colOff>
      <xdr:row>4</xdr:row>
      <xdr:rowOff>48846</xdr:rowOff>
    </xdr:from>
    <xdr:to>
      <xdr:col>19</xdr:col>
      <xdr:colOff>166007</xdr:colOff>
      <xdr:row>8</xdr:row>
      <xdr:rowOff>89554</xdr:rowOff>
    </xdr:to>
    <xdr:pic>
      <xdr:nvPicPr>
        <xdr:cNvPr id="62" name="Graphic 61" descr="Universal Access">
          <a:extLst>
            <a:ext uri="{FF2B5EF4-FFF2-40B4-BE49-F238E27FC236}">
              <a16:creationId xmlns:a16="http://schemas.microsoft.com/office/drawing/2014/main" id="{A2EE114C-7B06-FD96-F034-DA1613D3C5A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856058" y="48846"/>
          <a:ext cx="910911" cy="789681"/>
        </a:xfrm>
        <a:prstGeom prst="rect">
          <a:avLst/>
        </a:prstGeom>
      </xdr:spPr>
    </xdr:pic>
    <xdr:clientData/>
  </xdr:twoCellAnchor>
  <xdr:twoCellAnchor editAs="oneCell">
    <xdr:from>
      <xdr:col>27</xdr:col>
      <xdr:colOff>430892</xdr:colOff>
      <xdr:row>4</xdr:row>
      <xdr:rowOff>81410</xdr:rowOff>
    </xdr:from>
    <xdr:to>
      <xdr:col>28</xdr:col>
      <xdr:colOff>589643</xdr:colOff>
      <xdr:row>7</xdr:row>
      <xdr:rowOff>138397</xdr:rowOff>
    </xdr:to>
    <xdr:pic>
      <xdr:nvPicPr>
        <xdr:cNvPr id="64" name="Graphic 63" descr="Professor">
          <a:extLst>
            <a:ext uri="{FF2B5EF4-FFF2-40B4-BE49-F238E27FC236}">
              <a16:creationId xmlns:a16="http://schemas.microsoft.com/office/drawing/2014/main" id="{3842CB31-BB0C-B8A2-EA7F-2FA5C28632E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6916469" y="81410"/>
          <a:ext cx="769328" cy="618718"/>
        </a:xfrm>
        <a:prstGeom prst="rect">
          <a:avLst/>
        </a:prstGeom>
      </xdr:spPr>
    </xdr:pic>
    <xdr:clientData/>
  </xdr:twoCellAnchor>
  <xdr:twoCellAnchor editAs="oneCell">
    <xdr:from>
      <xdr:col>38</xdr:col>
      <xdr:colOff>90715</xdr:colOff>
      <xdr:row>4</xdr:row>
      <xdr:rowOff>115455</xdr:rowOff>
    </xdr:from>
    <xdr:to>
      <xdr:col>39</xdr:col>
      <xdr:colOff>226785</xdr:colOff>
      <xdr:row>7</xdr:row>
      <xdr:rowOff>97692</xdr:rowOff>
    </xdr:to>
    <xdr:pic>
      <xdr:nvPicPr>
        <xdr:cNvPr id="66" name="Graphic 65" descr="Wedding rings">
          <a:extLst>
            <a:ext uri="{FF2B5EF4-FFF2-40B4-BE49-F238E27FC236}">
              <a16:creationId xmlns:a16="http://schemas.microsoft.com/office/drawing/2014/main" id="{C160099E-046C-746E-6E99-56F8EDC01B8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3280585" y="115455"/>
          <a:ext cx="746330" cy="526523"/>
        </a:xfrm>
        <a:prstGeom prst="rect">
          <a:avLst/>
        </a:prstGeom>
      </xdr:spPr>
    </xdr:pic>
    <xdr:clientData/>
  </xdr:twoCellAnchor>
  <xdr:twoCellAnchor>
    <xdr:from>
      <xdr:col>0</xdr:col>
      <xdr:colOff>149411</xdr:colOff>
      <xdr:row>39</xdr:row>
      <xdr:rowOff>74706</xdr:rowOff>
    </xdr:from>
    <xdr:to>
      <xdr:col>6</xdr:col>
      <xdr:colOff>373530</xdr:colOff>
      <xdr:row>52</xdr:row>
      <xdr:rowOff>156733</xdr:rowOff>
    </xdr:to>
    <xdr:graphicFrame macro="">
      <xdr:nvGraphicFramePr>
        <xdr:cNvPr id="2" name="Chart 1">
          <a:extLst>
            <a:ext uri="{FF2B5EF4-FFF2-40B4-BE49-F238E27FC236}">
              <a16:creationId xmlns:a16="http://schemas.microsoft.com/office/drawing/2014/main" id="{DDA34136-DAE5-4B5D-977D-876581D61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6</xdr:col>
      <xdr:colOff>448235</xdr:colOff>
      <xdr:row>39</xdr:row>
      <xdr:rowOff>87157</xdr:rowOff>
    </xdr:from>
    <xdr:to>
      <xdr:col>9</xdr:col>
      <xdr:colOff>446741</xdr:colOff>
      <xdr:row>52</xdr:row>
      <xdr:rowOff>141111</xdr:rowOff>
    </xdr:to>
    <mc:AlternateContent xmlns:mc="http://schemas.openxmlformats.org/markup-compatibility/2006" xmlns:a14="http://schemas.microsoft.com/office/drawing/2010/main">
      <mc:Choice Requires="a14">
        <xdr:graphicFrame macro="">
          <xdr:nvGraphicFramePr>
            <xdr:cNvPr id="3" name="Educational Level 1">
              <a:extLst>
                <a:ext uri="{FF2B5EF4-FFF2-40B4-BE49-F238E27FC236}">
                  <a16:creationId xmlns:a16="http://schemas.microsoft.com/office/drawing/2014/main" id="{0C36AF02-94DA-49F3-ABBC-0DF2D91634F6}"/>
                </a:ext>
              </a:extLst>
            </xdr:cNvPr>
            <xdr:cNvGraphicFramePr/>
          </xdr:nvGraphicFramePr>
          <xdr:xfrm>
            <a:off x="0" y="0"/>
            <a:ext cx="0" cy="0"/>
          </xdr:xfrm>
          <a:graphic>
            <a:graphicData uri="http://schemas.microsoft.com/office/drawing/2010/slicer">
              <sle:slicer xmlns:sle="http://schemas.microsoft.com/office/drawing/2010/slicer" name="Educational Level 1"/>
            </a:graphicData>
          </a:graphic>
        </xdr:graphicFrame>
      </mc:Choice>
      <mc:Fallback xmlns="">
        <xdr:sp macro="" textlink="">
          <xdr:nvSpPr>
            <xdr:cNvPr id="0" name=""/>
            <xdr:cNvSpPr>
              <a:spLocks noTextEdit="1"/>
            </xdr:cNvSpPr>
          </xdr:nvSpPr>
          <xdr:spPr>
            <a:xfrm>
              <a:off x="4108823" y="6623922"/>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99610</xdr:colOff>
      <xdr:row>24</xdr:row>
      <xdr:rowOff>74706</xdr:rowOff>
    </xdr:from>
    <xdr:to>
      <xdr:col>19</xdr:col>
      <xdr:colOff>522941</xdr:colOff>
      <xdr:row>40</xdr:row>
      <xdr:rowOff>12451</xdr:rowOff>
    </xdr:to>
    <xdr:graphicFrame macro="">
      <xdr:nvGraphicFramePr>
        <xdr:cNvPr id="4" name="Chart 3">
          <a:extLst>
            <a:ext uri="{FF2B5EF4-FFF2-40B4-BE49-F238E27FC236}">
              <a16:creationId xmlns:a16="http://schemas.microsoft.com/office/drawing/2014/main" id="{086D25D3-C396-4312-86AF-A3C5C6CA9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190500</xdr:colOff>
      <xdr:row>8</xdr:row>
      <xdr:rowOff>114300</xdr:rowOff>
    </xdr:from>
    <xdr:to>
      <xdr:col>9</xdr:col>
      <xdr:colOff>457200</xdr:colOff>
      <xdr:row>23</xdr:row>
      <xdr:rowOff>156790</xdr:rowOff>
    </xdr:to>
    <xdr:graphicFrame macro="">
      <xdr:nvGraphicFramePr>
        <xdr:cNvPr id="10" name="Chart 9">
          <a:extLst>
            <a:ext uri="{FF2B5EF4-FFF2-40B4-BE49-F238E27FC236}">
              <a16:creationId xmlns:a16="http://schemas.microsoft.com/office/drawing/2014/main" id="{F6ECB38A-B351-4347-A1AE-CF2278657D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164629</xdr:colOff>
      <xdr:row>53</xdr:row>
      <xdr:rowOff>23519</xdr:rowOff>
    </xdr:from>
    <xdr:to>
      <xdr:col>9</xdr:col>
      <xdr:colOff>454692</xdr:colOff>
      <xdr:row>71</xdr:row>
      <xdr:rowOff>78394</xdr:rowOff>
    </xdr:to>
    <xdr:graphicFrame macro="">
      <xdr:nvGraphicFramePr>
        <xdr:cNvPr id="13" name="Chart 12">
          <a:extLst>
            <a:ext uri="{FF2B5EF4-FFF2-40B4-BE49-F238E27FC236}">
              <a16:creationId xmlns:a16="http://schemas.microsoft.com/office/drawing/2014/main" id="{8AC1C9CC-9494-465C-B85E-0D1F34394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10</xdr:col>
      <xdr:colOff>101914</xdr:colOff>
      <xdr:row>56</xdr:row>
      <xdr:rowOff>23519</xdr:rowOff>
    </xdr:from>
    <xdr:to>
      <xdr:col>19</xdr:col>
      <xdr:colOff>493889</xdr:colOff>
      <xdr:row>71</xdr:row>
      <xdr:rowOff>84070</xdr:rowOff>
    </xdr:to>
    <xdr:graphicFrame macro="">
      <xdr:nvGraphicFramePr>
        <xdr:cNvPr id="14" name="Chart 13">
          <a:extLst>
            <a:ext uri="{FF2B5EF4-FFF2-40B4-BE49-F238E27FC236}">
              <a16:creationId xmlns:a16="http://schemas.microsoft.com/office/drawing/2014/main" id="{890AB07B-B4DB-4FE4-A2C2-E89F33F4D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30</xdr:col>
      <xdr:colOff>130735</xdr:colOff>
      <xdr:row>20</xdr:row>
      <xdr:rowOff>112057</xdr:rowOff>
    </xdr:from>
    <xdr:to>
      <xdr:col>39</xdr:col>
      <xdr:colOff>466911</xdr:colOff>
      <xdr:row>44</xdr:row>
      <xdr:rowOff>56029</xdr:rowOff>
    </xdr:to>
    <xdr:graphicFrame macro="">
      <xdr:nvGraphicFramePr>
        <xdr:cNvPr id="15" name="Chart 14">
          <a:extLst>
            <a:ext uri="{FF2B5EF4-FFF2-40B4-BE49-F238E27FC236}">
              <a16:creationId xmlns:a16="http://schemas.microsoft.com/office/drawing/2014/main" id="{7B96703A-0B83-4ABA-B5DC-C8E8538AA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0</xdr:col>
      <xdr:colOff>42332</xdr:colOff>
      <xdr:row>0</xdr:row>
      <xdr:rowOff>63500</xdr:rowOff>
    </xdr:from>
    <xdr:to>
      <xdr:col>39</xdr:col>
      <xdr:colOff>571499</xdr:colOff>
      <xdr:row>3</xdr:row>
      <xdr:rowOff>148167</xdr:rowOff>
    </xdr:to>
    <xdr:sp macro="" textlink="">
      <xdr:nvSpPr>
        <xdr:cNvPr id="16" name="TextBox 15">
          <a:extLst>
            <a:ext uri="{FF2B5EF4-FFF2-40B4-BE49-F238E27FC236}">
              <a16:creationId xmlns:a16="http://schemas.microsoft.com/office/drawing/2014/main" id="{8CD54AEB-F211-FCDE-305F-B881C24B5893}"/>
            </a:ext>
          </a:extLst>
        </xdr:cNvPr>
        <xdr:cNvSpPr txBox="1"/>
      </xdr:nvSpPr>
      <xdr:spPr>
        <a:xfrm>
          <a:off x="42332" y="63500"/>
          <a:ext cx="24468667" cy="624417"/>
        </a:xfrm>
        <a:prstGeom prst="rect">
          <a:avLst/>
        </a:prstGeom>
        <a:solidFill>
          <a:srgbClr val="9933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IN" sz="4400" b="1">
              <a:solidFill>
                <a:schemeClr val="bg1"/>
              </a:solidFill>
              <a:effectLst/>
              <a:latin typeface="+mn-lt"/>
              <a:ea typeface="+mn-ea"/>
              <a:cs typeface="+mn-cs"/>
            </a:rPr>
            <a:t>DEMOGRAPHIC AND SOCIO-ECONOMIC INDICATORS: CENSUS 2011 – LUCKNOW</a:t>
          </a:r>
          <a:endParaRPr lang="en-IN" sz="4400">
            <a:solidFill>
              <a:schemeClr val="bg1"/>
            </a:solidFill>
            <a:effectLst/>
            <a:latin typeface="+mn-lt"/>
            <a:ea typeface="+mn-ea"/>
            <a:cs typeface="+mn-cs"/>
          </a:endParaRPr>
        </a:p>
      </xdr:txBody>
    </xdr:sp>
    <xdr:clientData/>
  </xdr:twoCellAnchor>
  <xdr:twoCellAnchor>
    <xdr:from>
      <xdr:col>30</xdr:col>
      <xdr:colOff>127000</xdr:colOff>
      <xdr:row>50</xdr:row>
      <xdr:rowOff>106388</xdr:rowOff>
    </xdr:from>
    <xdr:to>
      <xdr:col>34</xdr:col>
      <xdr:colOff>508000</xdr:colOff>
      <xdr:row>71</xdr:row>
      <xdr:rowOff>77439</xdr:rowOff>
    </xdr:to>
    <xdr:graphicFrame macro="">
      <xdr:nvGraphicFramePr>
        <xdr:cNvPr id="8" name="Chart 7">
          <a:extLst>
            <a:ext uri="{FF2B5EF4-FFF2-40B4-BE49-F238E27FC236}">
              <a16:creationId xmlns:a16="http://schemas.microsoft.com/office/drawing/2014/main" id="{CE8ABB3F-A238-4D8F-8307-AD09F80A3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30</xdr:col>
      <xdr:colOff>142875</xdr:colOff>
      <xdr:row>7</xdr:row>
      <xdr:rowOff>158751</xdr:rowOff>
    </xdr:from>
    <xdr:to>
      <xdr:col>39</xdr:col>
      <xdr:colOff>468252</xdr:colOff>
      <xdr:row>20</xdr:row>
      <xdr:rowOff>15875</xdr:rowOff>
    </xdr:to>
    <xdr:pic>
      <xdr:nvPicPr>
        <xdr:cNvPr id="18" name="Picture 17">
          <a:extLst>
            <a:ext uri="{FF2B5EF4-FFF2-40B4-BE49-F238E27FC236}">
              <a16:creationId xmlns:a16="http://schemas.microsoft.com/office/drawing/2014/main" id="{31494B0C-6835-4171-9CCD-14F8DCBF92F2}"/>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18240375" y="1492251"/>
          <a:ext cx="5754627" cy="23336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34</xdr:col>
      <xdr:colOff>550547</xdr:colOff>
      <xdr:row>50</xdr:row>
      <xdr:rowOff>109488</xdr:rowOff>
    </xdr:from>
    <xdr:to>
      <xdr:col>39</xdr:col>
      <xdr:colOff>519546</xdr:colOff>
      <xdr:row>71</xdr:row>
      <xdr:rowOff>61950</xdr:rowOff>
    </xdr:to>
    <xdr:graphicFrame macro="">
      <xdr:nvGraphicFramePr>
        <xdr:cNvPr id="19" name="Chart 18">
          <a:extLst>
            <a:ext uri="{FF2B5EF4-FFF2-40B4-BE49-F238E27FC236}">
              <a16:creationId xmlns:a16="http://schemas.microsoft.com/office/drawing/2014/main" id="{1854CDFB-1AD0-48FE-A8E1-0CCCE8C30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36.078108449074" createdVersion="8" refreshedVersion="8" minRefreshableVersion="3" recordCount="60" xr:uid="{02AC8A32-613A-42CC-9042-F4A70B9B51D1}">
  <cacheSource type="worksheet">
    <worksheetSource name="Surviving"/>
  </cacheSource>
  <cacheFields count="10">
    <cacheField name="Area Name_x000a_" numFmtId="0">
      <sharedItems/>
    </cacheField>
    <cacheField name="Urban/ Rural" numFmtId="0">
      <sharedItems count="2">
        <s v="Rural"/>
        <s v="Urban"/>
      </sharedItems>
    </cacheField>
    <cacheField name="Educational Level" numFmtId="0">
      <sharedItems count="2">
        <s v="Illiterate"/>
        <s v="Literate"/>
      </sharedItems>
    </cacheField>
    <cacheField name="Present Age of women" numFmtId="0">
      <sharedItems count="15">
        <s v="Less than 15"/>
        <s v="15-19"/>
        <s v="20-24"/>
        <s v="25-29"/>
        <s v="30-34"/>
        <s v="35-39"/>
        <s v="40-44"/>
        <s v="45-49"/>
        <s v="50-54"/>
        <s v="55-59"/>
        <s v="60-64"/>
        <s v="65-69"/>
        <s v="70-74"/>
        <s v="75-79"/>
        <s v="80+"/>
      </sharedItems>
    </cacheField>
    <cacheField name="Total Women" numFmtId="3">
      <sharedItems containsSemiMixedTypes="0" containsString="0" containsNumber="1" containsInteger="1" minValue="563" maxValue="185874"/>
    </cacheField>
    <cacheField name="Total ever married women" numFmtId="3">
      <sharedItems containsSemiMixedTypes="0" containsString="0" containsNumber="1" containsInteger="1" minValue="474" maxValue="85404"/>
    </cacheField>
    <cacheField name="Total no. of surviving children (Male)" numFmtId="3">
      <sharedItems containsSemiMixedTypes="0" containsString="0" containsNumber="1" containsInteger="1" minValue="214" maxValue="88478"/>
    </cacheField>
    <cacheField name="Total no. of surviving children (Female)" numFmtId="3">
      <sharedItems containsSemiMixedTypes="0" containsString="0" containsNumber="1" containsInteger="1" minValue="207" maxValue="76809"/>
    </cacheField>
    <cacheField name="Total Surviving Children" numFmtId="3">
      <sharedItems containsSemiMixedTypes="0" containsString="0" containsNumber="1" containsInteger="1" minValue="429" maxValue="165287"/>
    </cacheField>
    <cacheField name="AvgSurvivingPerWoman" numFmtId="0" formula="'Total Surviving Children'/'Total Women'" databaseField="0"/>
  </cacheFields>
  <extLst>
    <ext xmlns:x14="http://schemas.microsoft.com/office/spreadsheetml/2009/9/main" uri="{725AE2AE-9491-48be-B2B4-4EB974FC3084}">
      <x14:pivotCacheDefinition pivotCacheId="9314343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50.094633449073" createdVersion="8" refreshedVersion="8" minRefreshableVersion="3" recordCount="10" xr:uid="{583BB3C1-193B-4F1C-959A-D75A636AB1A0}">
  <cacheSource type="worksheet">
    <worksheetSource name="Population"/>
  </cacheSource>
  <cacheFields count="9">
    <cacheField name="Area Name" numFmtId="0">
      <sharedItems/>
    </cacheField>
    <cacheField name="Urban/ Rural" numFmtId="49">
      <sharedItems count="2">
        <s v="Rural"/>
        <s v="Urban"/>
      </sharedItems>
    </cacheField>
    <cacheField name="Age Group" numFmtId="0">
      <sharedItems count="5">
        <s v="0-19"/>
        <s v="20-39"/>
        <s v="40-59"/>
        <s v="60-79"/>
        <s v="80+"/>
      </sharedItems>
    </cacheField>
    <cacheField name="Male Population " numFmtId="0">
      <sharedItems containsSemiMixedTypes="0" containsString="0" containsNumber="1" containsInteger="1" minValue="6954" maxValue="536182"/>
    </cacheField>
    <cacheField name="Female Population" numFmtId="0">
      <sharedItems containsSemiMixedTypes="0" containsString="0" containsNumber="1" containsInteger="1" minValue="7379" maxValue="514499"/>
    </cacheField>
    <cacheField name="Total Population" numFmtId="0">
      <sharedItems containsSemiMixedTypes="0" containsString="0" containsNumber="1" containsInteger="1" minValue="14333" maxValue="1050681"/>
    </cacheField>
    <cacheField name="Male Female Ratio" numFmtId="2">
      <sharedItems containsSemiMixedTypes="0" containsString="0" containsNumber="1" minValue="0.94240411979943084" maxValue="1.1255435703394139"/>
    </cacheField>
    <cacheField name="Male %" numFmtId="9">
      <sharedItems containsSemiMixedTypes="0" containsString="0" containsNumber="1" minValue="0.48517407381567013" maxValue="0.52953210936046979"/>
    </cacheField>
    <cacheField name="Female %" numFmtId="9">
      <sharedItems containsSemiMixedTypes="0" containsString="0" containsNumber="1" minValue="0.47046789063953026" maxValue="0.5148259261843298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54.902787037034" createdVersion="8" refreshedVersion="8" minRefreshableVersion="3" recordCount="14" xr:uid="{17E40C53-BE2B-4CA4-96DE-D7D8BED1BFA1}">
  <cacheSource type="worksheet">
    <worksheetSource name="Education"/>
  </cacheSource>
  <cacheFields count="15">
    <cacheField name="Urban/ Rural" numFmtId="49">
      <sharedItems count="2">
        <s v="Rural"/>
        <s v="Urban"/>
      </sharedItems>
    </cacheField>
    <cacheField name="Age Group" numFmtId="0">
      <sharedItems count="7">
        <s v="Less than 15"/>
        <s v="15-19"/>
        <s v="20-24"/>
        <s v="25-29"/>
        <s v="30-34"/>
        <s v="35-59"/>
        <s v="60+"/>
      </sharedItems>
    </cacheField>
    <cacheField name="Male Population " numFmtId="0">
      <sharedItems containsSemiMixedTypes="0" containsString="0" containsNumber="1" containsInteger="1" minValue="100801" maxValue="829543" count="14">
        <n v="540246"/>
        <n v="188108"/>
        <n v="138308"/>
        <n v="113288"/>
        <n v="100801"/>
        <n v="326555"/>
        <n v="128194"/>
        <n v="774799"/>
        <n v="329193"/>
        <n v="318712"/>
        <n v="275635"/>
        <n v="230659"/>
        <n v="829543"/>
        <n v="231192"/>
      </sharedItems>
    </cacheField>
    <cacheField name="Female Population" numFmtId="0">
      <sharedItems containsSemiMixedTypes="0" containsString="0" containsNumber="1" containsInteger="1" minValue="50775" maxValue="428788" count="14">
        <n v="280929"/>
        <n v="100795"/>
        <n v="76581"/>
        <n v="59420"/>
        <n v="50775"/>
        <n v="172569"/>
        <n v="64763"/>
        <n v="407176"/>
        <n v="175565"/>
        <n v="167547"/>
        <n v="138307"/>
        <n v="116500"/>
        <n v="428788"/>
        <n v="121247"/>
      </sharedItems>
    </cacheField>
    <cacheField name="Total Population" numFmtId="0">
      <sharedItems containsSemiMixedTypes="0" containsString="0" containsNumber="1" containsInteger="1" minValue="151576" maxValue="1258331"/>
    </cacheField>
    <cacheField name="Population attending educational institution (Male)" numFmtId="0">
      <sharedItems containsSemiMixedTypes="0" containsString="0" containsNumber="1" containsInteger="1" minValue="1965" maxValue="451726" count="14">
        <n v="301229"/>
        <n v="103549"/>
        <n v="32173"/>
        <n v="4291"/>
        <n v="1965"/>
        <n v="4918"/>
        <n v="2160"/>
        <n v="451726"/>
        <n v="230488"/>
        <n v="141856"/>
        <n v="37109"/>
        <n v="15964"/>
        <n v="39151"/>
        <n v="11087"/>
      </sharedItems>
    </cacheField>
    <cacheField name="Population attending educational institution (Female)" numFmtId="0">
      <sharedItems containsSemiMixedTypes="0" containsString="0" containsNumber="1" containsInteger="1" minValue="1111" maxValue="237001" count="14">
        <n v="157545"/>
        <n v="55270"/>
        <n v="19687"/>
        <n v="2678"/>
        <n v="1118"/>
        <n v="2761"/>
        <n v="1111"/>
        <n v="237001"/>
        <n v="120383"/>
        <n v="76353"/>
        <n v="20017"/>
        <n v="8621"/>
        <n v="22206"/>
        <n v="6822"/>
      </sharedItems>
    </cacheField>
    <cacheField name="Total" numFmtId="0">
      <sharedItems containsSemiMixedTypes="0" containsString="0" containsNumber="1" containsInteger="1" minValue="3083" maxValue="688727"/>
    </cacheField>
    <cacheField name="Education Attendance Rate (Male)" numFmtId="9">
      <sharedItems containsSemiMixedTypes="0" containsString="0" containsNumber="1" minValue="1.5060250187564116E-2" maxValue="0.70016069600507913"/>
    </cacheField>
    <cacheField name="Education Attendance Rate (Female)" numFmtId="9">
      <sharedItems containsSemiMixedTypes="0" containsString="0" containsNumber="1" minValue="1.5999397342512271E-2" maxValue="0.68568906103152683"/>
    </cacheField>
    <cacheField name="Overall Education Attendance Rate" numFmtId="9">
      <sharedItems containsSemiMixedTypes="0" containsString="0" containsNumber="1" minValue="1.5384954440179194E-2" maxValue="0.69512716985169132"/>
    </cacheField>
    <cacheField name="Gender Gap in Education Attendance" numFmtId="0">
      <sharedItems containsSemiMixedTypes="0" containsString="0" containsNumber="1" minValue="-2.445570537787578E-2" maxValue="1.4471634973552305E-2"/>
    </cacheField>
    <cacheField name="Male–Female Population Ratio" numFmtId="0">
      <sharedItems containsSemiMixedTypes="0" containsString="0" containsNumber="1" minValue="1.8060354395999008" maxValue="1.9929215441011663"/>
    </cacheField>
    <cacheField name="% of Educated Population by Gender(Male)" numFmtId="9">
      <sharedItems containsSemiMixedTypes="0" containsString="0" containsNumber="1" minValue="0.61572679007031139" maxValue="0.66034851727300514"/>
    </cacheField>
    <cacheField name="% of Educated Population by Gender(Female)" numFmtId="9">
      <sharedItems containsSemiMixedTypes="0" containsString="0" containsNumber="1" minValue="0.3396514827269948" maxValue="0.38427320992968861"/>
    </cacheField>
  </cacheFields>
  <extLst>
    <ext xmlns:x14="http://schemas.microsoft.com/office/spreadsheetml/2009/9/main" uri="{725AE2AE-9491-48be-B2B4-4EB974FC3084}">
      <x14:pivotCacheDefinition pivotCacheId="127266732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55.036311458331" createdVersion="8" refreshedVersion="8" minRefreshableVersion="3" recordCount="14" xr:uid="{0AE9106F-403E-44CE-AD6A-BB5CFD23BC4E}">
  <cacheSource type="worksheet">
    <worksheetSource name="Marital"/>
  </cacheSource>
  <cacheFields count="23">
    <cacheField name="Urban/Rural" numFmtId="49">
      <sharedItems count="2">
        <s v="Rural"/>
        <s v="Urban"/>
      </sharedItems>
    </cacheField>
    <cacheField name="Marital Status" numFmtId="3">
      <sharedItems count="7">
        <s v="Total"/>
        <s v="Never married"/>
        <s v="Married"/>
        <s v="Widowed"/>
        <s v="Separated"/>
        <s v="Divorced"/>
        <s v="Unspecified"/>
      </sharedItems>
    </cacheField>
    <cacheField name="Total Hindu Male Population" numFmtId="0">
      <sharedItems containsSemiMixedTypes="0" containsString="0" containsNumber="1" containsInteger="1" minValue="0" maxValue="2179540"/>
    </cacheField>
    <cacheField name="Total Hindu Female Population" numFmtId="0">
      <sharedItems containsSemiMixedTypes="0" containsString="0" containsNumber="1" containsInteger="1" minValue="0" maxValue="1140185"/>
    </cacheField>
    <cacheField name="Total Hindu Population" numFmtId="0">
      <sharedItems containsSemiMixedTypes="0" containsString="0" containsNumber="1" containsInteger="1" minValue="0" maxValue="3319725" count="13">
        <n v="2072537"/>
        <n v="1120526"/>
        <n v="866998"/>
        <n v="77254"/>
        <n v="5705"/>
        <n v="2054"/>
        <n v="0"/>
        <n v="3319725"/>
        <n v="1611740"/>
        <n v="1590115"/>
        <n v="110207"/>
        <n v="5331"/>
        <n v="2332"/>
      </sharedItems>
    </cacheField>
    <cacheField name="Total Muslim Male Population" numFmtId="0">
      <sharedItems containsSemiMixedTypes="0" containsString="0" containsNumber="1" containsInteger="1" minValue="0" maxValue="801469"/>
    </cacheField>
    <cacheField name="Total Muslim Female Population" numFmtId="0">
      <sharedItems containsSemiMixedTypes="0" containsString="0" containsNumber="1" containsInteger="1" minValue="0" maxValue="410956"/>
    </cacheField>
    <cacheField name="Total Muslim Population" numFmtId="0">
      <sharedItems containsSemiMixedTypes="0" containsString="0" containsNumber="1" containsInteger="1" minValue="0" maxValue="1212425"/>
    </cacheField>
    <cacheField name="Total Christian Male Population" numFmtId="0">
      <sharedItems containsSemiMixedTypes="0" containsString="0" containsNumber="1" containsInteger="1" minValue="0" maxValue="18001"/>
    </cacheField>
    <cacheField name="Total Christian Female Population" numFmtId="0">
      <sharedItems containsSemiMixedTypes="0" containsString="0" containsNumber="1" containsInteger="1" minValue="0" maxValue="8865"/>
    </cacheField>
    <cacheField name="Total Christian Population" numFmtId="0">
      <sharedItems containsSemiMixedTypes="0" containsString="0" containsNumber="1" containsInteger="1" minValue="0" maxValue="26866"/>
    </cacheField>
    <cacheField name="Total  Sikh Male Population" numFmtId="0">
      <sharedItems containsSemiMixedTypes="0" containsString="0" containsNumber="1" containsInteger="1" minValue="0" maxValue="22847"/>
    </cacheField>
    <cacheField name="Total  Sikh Female Population" numFmtId="0">
      <sharedItems containsSemiMixedTypes="0" containsString="0" containsNumber="1" containsInteger="1" minValue="0" maxValue="12013"/>
    </cacheField>
    <cacheField name="Total  Sikh Population" numFmtId="0">
      <sharedItems containsSemiMixedTypes="0" containsString="0" containsNumber="1" containsInteger="1" minValue="0" maxValue="34860"/>
    </cacheField>
    <cacheField name="Total Buddhist Male Population" numFmtId="0">
      <sharedItems containsSemiMixedTypes="0" containsString="0" containsNumber="1" containsInteger="1" minValue="0" maxValue="2932"/>
    </cacheField>
    <cacheField name="Total Buddhist Female Population" numFmtId="0">
      <sharedItems containsSemiMixedTypes="0" containsString="0" containsNumber="1" containsInteger="1" minValue="0" maxValue="1588"/>
    </cacheField>
    <cacheField name="Total Buddhist Population" numFmtId="0">
      <sharedItems containsSemiMixedTypes="0" containsString="0" containsNumber="1" containsInteger="1" minValue="0" maxValue="4520"/>
    </cacheField>
    <cacheField name="Tota Jain Male Population" numFmtId="0">
      <sharedItems containsSemiMixedTypes="0" containsString="0" containsNumber="1" containsInteger="1" minValue="0" maxValue="4785"/>
    </cacheField>
    <cacheField name="Tota Jain Female Population" numFmtId="0">
      <sharedItems containsSemiMixedTypes="0" containsString="0" containsNumber="1" containsInteger="1" minValue="0" maxValue="2407"/>
    </cacheField>
    <cacheField name="Tota Jain Population" numFmtId="0">
      <sharedItems containsSemiMixedTypes="0" containsString="0" containsNumber="1" containsInteger="1" minValue="0" maxValue="7192"/>
    </cacheField>
    <cacheField name="Other Male Population" numFmtId="0">
      <sharedItems containsSemiMixedTypes="0" containsString="0" containsNumber="1" containsInteger="1" minValue="0" maxValue="392"/>
    </cacheField>
    <cacheField name="Other Female Population" numFmtId="0">
      <sharedItems containsSemiMixedTypes="0" containsString="0" containsNumber="1" containsInteger="1" minValue="0" maxValue="195"/>
    </cacheField>
    <cacheField name="Other Population" numFmtId="0">
      <sharedItems containsSemiMixedTypes="0" containsString="0" containsNumber="1" containsInteger="1" minValue="0" maxValue="587"/>
    </cacheField>
  </cacheFields>
  <extLst>
    <ext xmlns:x14="http://schemas.microsoft.com/office/spreadsheetml/2009/9/main" uri="{725AE2AE-9491-48be-B2B4-4EB974FC3084}">
      <x14:pivotCacheDefinition pivotCacheId="302003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Lucknow"/>
    <x v="0"/>
    <x v="0"/>
    <x v="0"/>
    <n v="126777"/>
    <n v="741"/>
    <n v="283"/>
    <n v="252"/>
    <n v="535"/>
  </r>
  <r>
    <s v="Lucknow"/>
    <x v="0"/>
    <x v="0"/>
    <x v="1"/>
    <n v="11806"/>
    <n v="3956"/>
    <n v="1632"/>
    <n v="1359"/>
    <n v="2991"/>
  </r>
  <r>
    <s v="Lucknow"/>
    <x v="0"/>
    <x v="0"/>
    <x v="2"/>
    <n v="17218"/>
    <n v="14859"/>
    <n v="8986"/>
    <n v="8379"/>
    <n v="17365"/>
  </r>
  <r>
    <s v="Lucknow"/>
    <x v="0"/>
    <x v="0"/>
    <x v="3"/>
    <n v="23186"/>
    <n v="22572"/>
    <n v="25052"/>
    <n v="23332"/>
    <n v="48384"/>
  </r>
  <r>
    <s v="Lucknow"/>
    <x v="0"/>
    <x v="0"/>
    <x v="4"/>
    <n v="27030"/>
    <n v="26777"/>
    <n v="41414"/>
    <n v="38412"/>
    <n v="79826"/>
  </r>
  <r>
    <s v="Lucknow"/>
    <x v="0"/>
    <x v="0"/>
    <x v="5"/>
    <n v="29481"/>
    <n v="29339"/>
    <n v="53914"/>
    <n v="49090"/>
    <n v="103004"/>
  </r>
  <r>
    <s v="Lucknow"/>
    <x v="0"/>
    <x v="0"/>
    <x v="6"/>
    <n v="24041"/>
    <n v="23925"/>
    <n v="48148"/>
    <n v="42218"/>
    <n v="90366"/>
  </r>
  <r>
    <s v="Lucknow"/>
    <x v="0"/>
    <x v="0"/>
    <x v="7"/>
    <n v="20727"/>
    <n v="20649"/>
    <n v="43581"/>
    <n v="36432"/>
    <n v="80013"/>
  </r>
  <r>
    <s v="Lucknow"/>
    <x v="0"/>
    <x v="0"/>
    <x v="8"/>
    <n v="15527"/>
    <n v="15457"/>
    <n v="32586"/>
    <n v="26549"/>
    <n v="59135"/>
  </r>
  <r>
    <s v="Lucknow"/>
    <x v="0"/>
    <x v="0"/>
    <x v="9"/>
    <n v="16937"/>
    <n v="16872"/>
    <n v="35210"/>
    <n v="28065"/>
    <n v="63275"/>
  </r>
  <r>
    <s v="Lucknow"/>
    <x v="0"/>
    <x v="0"/>
    <x v="10"/>
    <n v="20386"/>
    <n v="20223"/>
    <n v="40237"/>
    <n v="32411"/>
    <n v="72648"/>
  </r>
  <r>
    <s v="Lucknow"/>
    <x v="0"/>
    <x v="0"/>
    <x v="11"/>
    <n v="14028"/>
    <n v="13884"/>
    <n v="26740"/>
    <n v="21210"/>
    <n v="47950"/>
  </r>
  <r>
    <s v="Lucknow"/>
    <x v="0"/>
    <x v="0"/>
    <x v="12"/>
    <n v="9480"/>
    <n v="9384"/>
    <n v="17324"/>
    <n v="13514"/>
    <n v="30838"/>
  </r>
  <r>
    <s v="Lucknow"/>
    <x v="0"/>
    <x v="0"/>
    <x v="13"/>
    <n v="4052"/>
    <n v="3997"/>
    <n v="7387"/>
    <n v="5857"/>
    <n v="13244"/>
  </r>
  <r>
    <s v="Lucknow"/>
    <x v="0"/>
    <x v="0"/>
    <x v="14"/>
    <n v="5962"/>
    <n v="5805"/>
    <n v="9961"/>
    <n v="8062"/>
    <n v="18023"/>
  </r>
  <r>
    <s v="Lucknow"/>
    <x v="0"/>
    <x v="1"/>
    <x v="0"/>
    <n v="132540"/>
    <n v="1954"/>
    <n v="227"/>
    <n v="207"/>
    <n v="434"/>
  </r>
  <r>
    <s v="Lucknow"/>
    <x v="0"/>
    <x v="1"/>
    <x v="1"/>
    <n v="75507"/>
    <n v="8700"/>
    <n v="1421"/>
    <n v="1304"/>
    <n v="2725"/>
  </r>
  <r>
    <s v="Lucknow"/>
    <x v="0"/>
    <x v="1"/>
    <x v="2"/>
    <n v="44509"/>
    <n v="27422"/>
    <n v="12041"/>
    <n v="11387"/>
    <n v="23428"/>
  </r>
  <r>
    <s v="Lucknow"/>
    <x v="0"/>
    <x v="1"/>
    <x v="3"/>
    <n v="30682"/>
    <n v="27800"/>
    <n v="24188"/>
    <n v="22286"/>
    <n v="46474"/>
  </r>
  <r>
    <s v="Lucknow"/>
    <x v="0"/>
    <x v="1"/>
    <x v="4"/>
    <n v="22996"/>
    <n v="22320"/>
    <n v="27680"/>
    <n v="24961"/>
    <n v="52641"/>
  </r>
  <r>
    <s v="Lucknow"/>
    <x v="0"/>
    <x v="1"/>
    <x v="5"/>
    <n v="18263"/>
    <n v="17984"/>
    <n v="26494"/>
    <n v="23743"/>
    <n v="50237"/>
  </r>
  <r>
    <s v="Lucknow"/>
    <x v="0"/>
    <x v="1"/>
    <x v="6"/>
    <n v="11720"/>
    <n v="11569"/>
    <n v="19046"/>
    <n v="16376"/>
    <n v="35422"/>
  </r>
  <r>
    <s v="Lucknow"/>
    <x v="0"/>
    <x v="1"/>
    <x v="7"/>
    <n v="8039"/>
    <n v="7928"/>
    <n v="13792"/>
    <n v="11675"/>
    <n v="25467"/>
  </r>
  <r>
    <s v="Lucknow"/>
    <x v="0"/>
    <x v="1"/>
    <x v="8"/>
    <n v="5241"/>
    <n v="5160"/>
    <n v="9262"/>
    <n v="7548"/>
    <n v="16810"/>
  </r>
  <r>
    <s v="Lucknow"/>
    <x v="0"/>
    <x v="1"/>
    <x v="9"/>
    <n v="4010"/>
    <n v="3938"/>
    <n v="7377"/>
    <n v="5770"/>
    <n v="13147"/>
  </r>
  <r>
    <s v="Lucknow"/>
    <x v="0"/>
    <x v="1"/>
    <x v="10"/>
    <n v="3715"/>
    <n v="3218"/>
    <n v="5968"/>
    <n v="4652"/>
    <n v="10620"/>
  </r>
  <r>
    <s v="Lucknow"/>
    <x v="0"/>
    <x v="1"/>
    <x v="11"/>
    <n v="2470"/>
    <n v="1813"/>
    <n v="3254"/>
    <n v="2461"/>
    <n v="5715"/>
  </r>
  <r>
    <s v="Lucknow"/>
    <x v="0"/>
    <x v="1"/>
    <x v="12"/>
    <n v="1358"/>
    <n v="1151"/>
    <n v="1899"/>
    <n v="1427"/>
    <n v="3326"/>
  </r>
  <r>
    <s v="Lucknow"/>
    <x v="0"/>
    <x v="1"/>
    <x v="13"/>
    <n v="563"/>
    <n v="474"/>
    <n v="788"/>
    <n v="635"/>
    <n v="1423"/>
  </r>
  <r>
    <s v="Lucknow"/>
    <x v="0"/>
    <x v="1"/>
    <x v="14"/>
    <n v="1417"/>
    <n v="1030"/>
    <n v="1270"/>
    <n v="1008"/>
    <n v="2278"/>
  </r>
  <r>
    <s v="Lucknow"/>
    <x v="1"/>
    <x v="0"/>
    <x v="0"/>
    <n v="185874"/>
    <n v="1189"/>
    <n v="214"/>
    <n v="215"/>
    <n v="429"/>
  </r>
  <r>
    <s v="Lucknow"/>
    <x v="1"/>
    <x v="0"/>
    <x v="1"/>
    <n v="18061"/>
    <n v="4365"/>
    <n v="1380"/>
    <n v="1142"/>
    <n v="2522"/>
  </r>
  <r>
    <s v="Lucknow"/>
    <x v="1"/>
    <x v="0"/>
    <x v="2"/>
    <n v="20471"/>
    <n v="14561"/>
    <n v="8122"/>
    <n v="7449"/>
    <n v="15571"/>
  </r>
  <r>
    <s v="Lucknow"/>
    <x v="1"/>
    <x v="0"/>
    <x v="3"/>
    <n v="24510"/>
    <n v="22193"/>
    <n v="21832"/>
    <n v="20137"/>
    <n v="41969"/>
  </r>
  <r>
    <s v="Lucknow"/>
    <x v="1"/>
    <x v="0"/>
    <x v="4"/>
    <n v="25220"/>
    <n v="24226"/>
    <n v="32979"/>
    <n v="29729"/>
    <n v="62708"/>
  </r>
  <r>
    <s v="Lucknow"/>
    <x v="1"/>
    <x v="0"/>
    <x v="5"/>
    <n v="29340"/>
    <n v="28764"/>
    <n v="46033"/>
    <n v="39904"/>
    <n v="85937"/>
  </r>
  <r>
    <s v="Lucknow"/>
    <x v="1"/>
    <x v="0"/>
    <x v="6"/>
    <n v="26143"/>
    <n v="25810"/>
    <n v="45162"/>
    <n v="37326"/>
    <n v="82488"/>
  </r>
  <r>
    <s v="Lucknow"/>
    <x v="1"/>
    <x v="0"/>
    <x v="7"/>
    <n v="24811"/>
    <n v="24587"/>
    <n v="45189"/>
    <n v="35555"/>
    <n v="80744"/>
  </r>
  <r>
    <s v="Lucknow"/>
    <x v="1"/>
    <x v="0"/>
    <x v="8"/>
    <n v="19049"/>
    <n v="18871"/>
    <n v="35896"/>
    <n v="26669"/>
    <n v="62565"/>
  </r>
  <r>
    <s v="Lucknow"/>
    <x v="1"/>
    <x v="0"/>
    <x v="9"/>
    <n v="16466"/>
    <n v="16325"/>
    <n v="31577"/>
    <n v="22553"/>
    <n v="54130"/>
  </r>
  <r>
    <s v="Lucknow"/>
    <x v="1"/>
    <x v="0"/>
    <x v="10"/>
    <n v="15969"/>
    <n v="15744"/>
    <n v="29064"/>
    <n v="20971"/>
    <n v="50035"/>
  </r>
  <r>
    <s v="Lucknow"/>
    <x v="1"/>
    <x v="0"/>
    <x v="11"/>
    <n v="10817"/>
    <n v="10540"/>
    <n v="19221"/>
    <n v="13938"/>
    <n v="33159"/>
  </r>
  <r>
    <s v="Lucknow"/>
    <x v="1"/>
    <x v="0"/>
    <x v="12"/>
    <n v="8181"/>
    <n v="8026"/>
    <n v="13832"/>
    <n v="10303"/>
    <n v="24135"/>
  </r>
  <r>
    <s v="Lucknow"/>
    <x v="1"/>
    <x v="0"/>
    <x v="13"/>
    <n v="3980"/>
    <n v="3914"/>
    <n v="6618"/>
    <n v="5026"/>
    <n v="11644"/>
  </r>
  <r>
    <s v="Lucknow"/>
    <x v="1"/>
    <x v="0"/>
    <x v="14"/>
    <n v="5938"/>
    <n v="5625"/>
    <n v="8592"/>
    <n v="6686"/>
    <n v="15278"/>
  </r>
  <r>
    <s v="Lucknow"/>
    <x v="1"/>
    <x v="1"/>
    <x v="0"/>
    <n v="181749"/>
    <n v="3781"/>
    <n v="590"/>
    <n v="561"/>
    <n v="1151"/>
  </r>
  <r>
    <s v="Lucknow"/>
    <x v="1"/>
    <x v="1"/>
    <x v="1"/>
    <n v="135567"/>
    <n v="13115"/>
    <n v="2428"/>
    <n v="2180"/>
    <n v="4608"/>
  </r>
  <r>
    <s v="Lucknow"/>
    <x v="1"/>
    <x v="1"/>
    <x v="2"/>
    <n v="130694"/>
    <n v="54342"/>
    <n v="20554"/>
    <n v="18185"/>
    <n v="38739"/>
  </r>
  <r>
    <s v="Lucknow"/>
    <x v="1"/>
    <x v="1"/>
    <x v="3"/>
    <n v="112818"/>
    <n v="85404"/>
    <n v="55071"/>
    <n v="48981"/>
    <n v="104052"/>
  </r>
  <r>
    <s v="Lucknow"/>
    <x v="1"/>
    <x v="1"/>
    <x v="4"/>
    <n v="88939"/>
    <n v="81417"/>
    <n v="74248"/>
    <n v="65249"/>
    <n v="139497"/>
  </r>
  <r>
    <s v="Lucknow"/>
    <x v="1"/>
    <x v="1"/>
    <x v="5"/>
    <n v="82507"/>
    <n v="79448"/>
    <n v="88478"/>
    <n v="76809"/>
    <n v="165287"/>
  </r>
  <r>
    <s v="Lucknow"/>
    <x v="1"/>
    <x v="1"/>
    <x v="6"/>
    <n v="66240"/>
    <n v="64604"/>
    <n v="79761"/>
    <n v="67125"/>
    <n v="146886"/>
  </r>
  <r>
    <s v="Lucknow"/>
    <x v="1"/>
    <x v="1"/>
    <x v="7"/>
    <n v="58561"/>
    <n v="57476"/>
    <n v="75969"/>
    <n v="62626"/>
    <n v="138595"/>
  </r>
  <r>
    <s v="Lucknow"/>
    <x v="1"/>
    <x v="1"/>
    <x v="8"/>
    <n v="44494"/>
    <n v="43627"/>
    <n v="59870"/>
    <n v="46601"/>
    <n v="106471"/>
  </r>
  <r>
    <s v="Lucknow"/>
    <x v="1"/>
    <x v="1"/>
    <x v="9"/>
    <n v="33144"/>
    <n v="32449"/>
    <n v="46442"/>
    <n v="34877"/>
    <n v="81319"/>
  </r>
  <r>
    <s v="Lucknow"/>
    <x v="1"/>
    <x v="1"/>
    <x v="10"/>
    <n v="25238"/>
    <n v="24040"/>
    <n v="35115"/>
    <n v="26585"/>
    <n v="61700"/>
  </r>
  <r>
    <s v="Lucknow"/>
    <x v="1"/>
    <x v="1"/>
    <x v="11"/>
    <n v="16369"/>
    <n v="14707"/>
    <n v="21704"/>
    <n v="16883"/>
    <n v="38587"/>
  </r>
  <r>
    <s v="Lucknow"/>
    <x v="1"/>
    <x v="1"/>
    <x v="12"/>
    <n v="10283"/>
    <n v="9592"/>
    <n v="14090"/>
    <n v="10831"/>
    <n v="24921"/>
  </r>
  <r>
    <s v="Lucknow"/>
    <x v="1"/>
    <x v="1"/>
    <x v="13"/>
    <n v="5349"/>
    <n v="5068"/>
    <n v="7581"/>
    <n v="6081"/>
    <n v="13662"/>
  </r>
  <r>
    <s v="Lucknow"/>
    <x v="1"/>
    <x v="1"/>
    <x v="14"/>
    <n v="7821"/>
    <n v="6574"/>
    <n v="8139"/>
    <n v="6421"/>
    <n v="1456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Lucknow"/>
    <x v="0"/>
    <x v="0"/>
    <n v="306652"/>
    <n v="276303"/>
    <n v="582955"/>
    <n v="1.1098395601929765"/>
    <n v="0.52603031108747678"/>
    <n v="0.47396968891252328"/>
  </r>
  <r>
    <s v="Lucknow"/>
    <x v="0"/>
    <x v="1"/>
    <n v="239765"/>
    <n v="213365"/>
    <n v="453130"/>
    <n v="1.1237316335856395"/>
    <n v="0.52913071304040782"/>
    <n v="0.47086928695959218"/>
  </r>
  <r>
    <s v="Lucknow"/>
    <x v="0"/>
    <x v="2"/>
    <n v="119580"/>
    <n v="106242"/>
    <n v="225822"/>
    <n v="1.1255435703394139"/>
    <n v="0.52953210936046979"/>
    <n v="0.47046789063953026"/>
  </r>
  <r>
    <s v="Lucknow"/>
    <x v="0"/>
    <x v="3"/>
    <n v="57809"/>
    <n v="56052"/>
    <n v="113861"/>
    <n v="1.0313458930992649"/>
    <n v="0.50771554790490159"/>
    <n v="0.49228445209509841"/>
  </r>
  <r>
    <s v="Lucknow"/>
    <x v="0"/>
    <x v="4"/>
    <n v="6954"/>
    <n v="7379"/>
    <n v="14333"/>
    <n v="0.94240411979943084"/>
    <n v="0.48517407381567013"/>
    <n v="0.51482592618432987"/>
  </r>
  <r>
    <s v="Lucknow"/>
    <x v="1"/>
    <x v="0"/>
    <n v="471996"/>
    <n v="420180"/>
    <n v="892176"/>
    <n v="1.1233185777523917"/>
    <n v="0.52903911335879916"/>
    <n v="0.47096088664120084"/>
  </r>
  <r>
    <s v="Lucknow"/>
    <x v="1"/>
    <x v="1"/>
    <n v="536182"/>
    <n v="514499"/>
    <n v="1050681"/>
    <n v="1.0421439108725188"/>
    <n v="0.51031854578126001"/>
    <n v="0.48968145421874004"/>
  </r>
  <r>
    <s v="Lucknow"/>
    <x v="1"/>
    <x v="2"/>
    <n v="314960"/>
    <n v="288908"/>
    <n v="603868"/>
    <n v="1.0901740346407853"/>
    <n v="0.52157093934436005"/>
    <n v="0.47842906065563995"/>
  </r>
  <r>
    <s v="Lucknow"/>
    <x v="1"/>
    <x v="3"/>
    <n v="107823"/>
    <n v="96186"/>
    <n v="204009"/>
    <n v="1.1209843428357558"/>
    <n v="0.52852080055291684"/>
    <n v="0.47147919944708322"/>
  </r>
  <r>
    <s v="Lucknow"/>
    <x v="1"/>
    <x v="4"/>
    <n v="13424"/>
    <n v="13759"/>
    <n v="27183"/>
    <n v="0.9756523003125227"/>
    <n v="0.49383806055255125"/>
    <n v="0.5061619394474488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x v="0"/>
    <x v="0"/>
    <x v="0"/>
    <n v="821175"/>
    <x v="0"/>
    <x v="0"/>
    <n v="458774"/>
    <n v="0.55757747396556379"/>
    <n v="0.56080005980158687"/>
    <n v="0.55867994032940604"/>
    <n v="-3.2225858360230841E-3"/>
    <n v="1.9230695300236003"/>
    <n v="0.65659562224537571"/>
    <n v="0.34340437775462429"/>
  </r>
  <r>
    <x v="0"/>
    <x v="1"/>
    <x v="1"/>
    <x v="1"/>
    <n v="288903"/>
    <x v="1"/>
    <x v="1"/>
    <n v="158819"/>
    <n v="0.55047632211282882"/>
    <n v="0.54834069150255471"/>
    <n v="0.54973122466710278"/>
    <n v="2.1356306102741085E-3"/>
    <n v="1.866243365246292"/>
    <n v="0.65199377908184786"/>
    <n v="0.34800622091815209"/>
  </r>
  <r>
    <x v="0"/>
    <x v="2"/>
    <x v="2"/>
    <x v="2"/>
    <n v="214889"/>
    <x v="2"/>
    <x v="2"/>
    <n v="51860"/>
    <n v="0.23261850362958036"/>
    <n v="0.25707420900745614"/>
    <n v="0.24133389796592661"/>
    <n v="-2.445570537787578E-2"/>
    <n v="1.8060354395999008"/>
    <n v="0.62038179714616271"/>
    <n v="0.37961820285383724"/>
  </r>
  <r>
    <x v="0"/>
    <x v="3"/>
    <x v="3"/>
    <x v="3"/>
    <n v="172708"/>
    <x v="3"/>
    <x v="3"/>
    <n v="6969"/>
    <n v="3.7876915472071185E-2"/>
    <n v="4.5069000336587006E-2"/>
    <n v="4.0351344465803553E-2"/>
    <n v="-7.1920848645158214E-3"/>
    <n v="1.9065634466509593"/>
    <n v="0.61572679007031139"/>
    <n v="0.38427320992968861"/>
  </r>
  <r>
    <x v="0"/>
    <x v="4"/>
    <x v="4"/>
    <x v="4"/>
    <n v="151576"/>
    <x v="4"/>
    <x v="4"/>
    <n v="3083"/>
    <n v="1.949385422763663E-2"/>
    <n v="2.2018709995076317E-2"/>
    <n v="2.0339631603947854E-2"/>
    <n v="-2.5248557674396876E-3"/>
    <n v="1.9852486459871985"/>
    <n v="0.63736620175154068"/>
    <n v="0.36263379824845932"/>
  </r>
  <r>
    <x v="0"/>
    <x v="5"/>
    <x v="5"/>
    <x v="5"/>
    <n v="499124"/>
    <x v="5"/>
    <x v="5"/>
    <n v="7679"/>
    <n v="1.5060250187564116E-2"/>
    <n v="1.5999397342512271E-2"/>
    <n v="1.5384954440179194E-2"/>
    <n v="-9.3914715494815455E-4"/>
    <n v="1.8923155375530947"/>
    <n v="0.64044797499674433"/>
    <n v="0.35955202500325562"/>
  </r>
  <r>
    <x v="0"/>
    <x v="6"/>
    <x v="6"/>
    <x v="6"/>
    <n v="192957"/>
    <x v="6"/>
    <x v="6"/>
    <n v="3271"/>
    <n v="1.6849462533347896E-2"/>
    <n v="1.7154856939919399E-2"/>
    <n v="1.6951963390807279E-2"/>
    <n v="-3.0539440657150266E-4"/>
    <n v="1.9794327007705017"/>
    <n v="0.66034851727300514"/>
    <n v="0.3396514827269948"/>
  </r>
  <r>
    <x v="1"/>
    <x v="0"/>
    <x v="7"/>
    <x v="7"/>
    <n v="1181975"/>
    <x v="7"/>
    <x v="7"/>
    <n v="688727"/>
    <n v="0.58302346802202898"/>
    <n v="0.58206033754445252"/>
    <n v="0.58269168129613569"/>
    <n v="9.6313047757645709E-4"/>
    <n v="1.9028601882232745"/>
    <n v="0.655885423397079"/>
    <n v="0.34411457660292105"/>
  </r>
  <r>
    <x v="1"/>
    <x v="1"/>
    <x v="8"/>
    <x v="8"/>
    <n v="504758"/>
    <x v="8"/>
    <x v="8"/>
    <n v="350871"/>
    <n v="0.70016069600507913"/>
    <n v="0.68568906103152683"/>
    <n v="0.69512716985169132"/>
    <n v="1.4471634973552305E-2"/>
    <n v="1.8750491271039216"/>
    <n v="0.65690239432725983"/>
    <n v="0.34309760567274011"/>
  </r>
  <r>
    <x v="1"/>
    <x v="2"/>
    <x v="9"/>
    <x v="9"/>
    <n v="486259"/>
    <x v="9"/>
    <x v="9"/>
    <n v="218209"/>
    <n v="0.44509149326037301"/>
    <n v="0.45571093484216368"/>
    <n v="0.44875056297158511"/>
    <n v="-1.0619441581790678E-2"/>
    <n v="1.9022244504527088"/>
    <n v="0.65009234266230997"/>
    <n v="0.34990765733769003"/>
  </r>
  <r>
    <x v="1"/>
    <x v="3"/>
    <x v="10"/>
    <x v="10"/>
    <n v="413942"/>
    <x v="10"/>
    <x v="10"/>
    <n v="57126"/>
    <n v="0.13463094309503509"/>
    <n v="0.14472875559443846"/>
    <n v="0.13800484125795401"/>
    <n v="-1.0097812499403364E-2"/>
    <n v="1.9929215441011663"/>
    <n v="0.64959913174386441"/>
    <n v="0.35040086825613553"/>
  </r>
  <r>
    <x v="1"/>
    <x v="4"/>
    <x v="11"/>
    <x v="11"/>
    <n v="347159"/>
    <x v="11"/>
    <x v="11"/>
    <n v="24585"/>
    <n v="6.9210392830975589E-2"/>
    <n v="7.3999999999999996E-2"/>
    <n v="7.0817694485811974E-2"/>
    <n v="-4.7896071690244069E-3"/>
    <n v="1.9799055793991416"/>
    <n v="0.64933902786251785"/>
    <n v="0.35066097213748221"/>
  </r>
  <r>
    <x v="1"/>
    <x v="5"/>
    <x v="12"/>
    <x v="12"/>
    <n v="1258331"/>
    <x v="12"/>
    <x v="12"/>
    <n v="61357"/>
    <n v="4.719586567543816E-2"/>
    <n v="5.1787829883298976E-2"/>
    <n v="4.8760620218368619E-2"/>
    <n v="-4.5919642078608158E-3"/>
    <n v="1.9346227039935819"/>
    <n v="0.63808530404028885"/>
    <n v="0.36191469595971121"/>
  </r>
  <r>
    <x v="1"/>
    <x v="6"/>
    <x v="13"/>
    <x v="13"/>
    <n v="352439"/>
    <x v="13"/>
    <x v="13"/>
    <n v="17909"/>
    <n v="4.7955811619779229E-2"/>
    <n v="5.6265309657146156E-2"/>
    <n v="5.0814467184392191E-2"/>
    <n v="-8.3094980373669275E-3"/>
    <n v="1.9067853225234439"/>
    <n v="0.61907420849852035"/>
    <n v="0.380925791501479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x v="0"/>
    <n v="1358247"/>
    <n v="714290"/>
    <x v="0"/>
    <n v="183601"/>
    <n v="94972"/>
    <n v="278573"/>
    <n v="2492"/>
    <n v="1214"/>
    <n v="3706"/>
    <n v="1036"/>
    <n v="560"/>
    <n v="1596"/>
    <n v="945"/>
    <n v="488"/>
    <n v="1433"/>
    <n v="190"/>
    <n v="101"/>
    <n v="291"/>
    <n v="112"/>
    <n v="56"/>
    <n v="168"/>
  </r>
  <r>
    <x v="0"/>
    <x v="1"/>
    <n v="716685"/>
    <n v="403841"/>
    <x v="1"/>
    <n v="104930"/>
    <n v="58004"/>
    <n v="162934"/>
    <n v="1299"/>
    <n v="668"/>
    <n v="1967"/>
    <n v="503"/>
    <n v="288"/>
    <n v="791"/>
    <n v="519"/>
    <n v="284"/>
    <n v="803"/>
    <n v="117"/>
    <n v="64"/>
    <n v="181"/>
    <n v="68"/>
    <n v="38"/>
    <n v="106"/>
  </r>
  <r>
    <x v="0"/>
    <x v="2"/>
    <n v="579338"/>
    <n v="287660"/>
    <x v="2"/>
    <n v="72027"/>
    <n v="35065"/>
    <n v="107092"/>
    <n v="1062"/>
    <n v="505"/>
    <n v="1567"/>
    <n v="480"/>
    <n v="253"/>
    <n v="733"/>
    <n v="385"/>
    <n v="198"/>
    <n v="583"/>
    <n v="67"/>
    <n v="34"/>
    <n v="101"/>
    <n v="38"/>
    <n v="17"/>
    <n v="55"/>
  </r>
  <r>
    <x v="0"/>
    <x v="3"/>
    <n v="57514"/>
    <n v="19740"/>
    <x v="3"/>
    <n v="6008"/>
    <n v="1647"/>
    <n v="7655"/>
    <n v="123"/>
    <n v="35"/>
    <n v="158"/>
    <n v="48"/>
    <n v="16"/>
    <n v="64"/>
    <n v="38"/>
    <n v="6"/>
    <n v="44"/>
    <n v="6"/>
    <n v="3"/>
    <n v="9"/>
    <n v="6"/>
    <n v="1"/>
    <n v="7"/>
  </r>
  <r>
    <x v="0"/>
    <x v="4"/>
    <n v="3476"/>
    <n v="2229"/>
    <x v="4"/>
    <n v="347"/>
    <n v="158"/>
    <n v="505"/>
    <n v="5"/>
    <n v="5"/>
    <n v="10"/>
    <n v="1"/>
    <n v="1"/>
    <n v="2"/>
    <n v="2"/>
    <n v="0"/>
    <n v="2"/>
    <n v="0"/>
    <n v="0"/>
    <n v="0"/>
    <n v="0"/>
    <n v="0"/>
    <n v="0"/>
  </r>
  <r>
    <x v="0"/>
    <x v="5"/>
    <n v="1234"/>
    <n v="820"/>
    <x v="5"/>
    <n v="289"/>
    <n v="98"/>
    <n v="387"/>
    <n v="3"/>
    <n v="1"/>
    <n v="4"/>
    <n v="4"/>
    <n v="2"/>
    <n v="6"/>
    <n v="1"/>
    <n v="0"/>
    <n v="1"/>
    <n v="0"/>
    <n v="0"/>
    <n v="0"/>
    <n v="0"/>
    <n v="0"/>
    <n v="0"/>
  </r>
  <r>
    <x v="0"/>
    <x v="6"/>
    <n v="0"/>
    <n v="0"/>
    <x v="6"/>
    <n v="0"/>
    <n v="0"/>
    <n v="0"/>
    <n v="0"/>
    <n v="0"/>
    <n v="0"/>
    <n v="0"/>
    <n v="0"/>
    <n v="0"/>
    <n v="0"/>
    <n v="0"/>
    <n v="0"/>
    <n v="0"/>
    <n v="0"/>
    <n v="0"/>
    <n v="0"/>
    <n v="0"/>
    <n v="0"/>
  </r>
  <r>
    <x v="1"/>
    <x v="0"/>
    <n v="2179540"/>
    <n v="1140185"/>
    <x v="7"/>
    <n v="801469"/>
    <n v="410956"/>
    <n v="1212425"/>
    <n v="18001"/>
    <n v="8865"/>
    <n v="26866"/>
    <n v="22847"/>
    <n v="12013"/>
    <n v="34860"/>
    <n v="2932"/>
    <n v="1588"/>
    <n v="4520"/>
    <n v="4785"/>
    <n v="2407"/>
    <n v="7192"/>
    <n v="392"/>
    <n v="195"/>
    <n v="587"/>
  </r>
  <r>
    <x v="1"/>
    <x v="1"/>
    <n v="1026278"/>
    <n v="585462"/>
    <x v="8"/>
    <n v="434454"/>
    <n v="241321"/>
    <n v="675775"/>
    <n v="8164"/>
    <n v="4382"/>
    <n v="12546"/>
    <n v="8990"/>
    <n v="5240"/>
    <n v="14230"/>
    <n v="1454"/>
    <n v="856"/>
    <n v="2310"/>
    <n v="1886"/>
    <n v="1042"/>
    <n v="2928"/>
    <n v="145"/>
    <n v="80"/>
    <n v="225"/>
  </r>
  <r>
    <x v="1"/>
    <x v="2"/>
    <n v="1062139"/>
    <n v="527976"/>
    <x v="9"/>
    <n v="334686"/>
    <n v="162076"/>
    <n v="496762"/>
    <n v="8791"/>
    <n v="4233"/>
    <n v="13024"/>
    <n v="12525"/>
    <n v="6373"/>
    <n v="18898"/>
    <n v="1389"/>
    <n v="699"/>
    <n v="2088"/>
    <n v="2651"/>
    <n v="1298"/>
    <n v="3949"/>
    <n v="220"/>
    <n v="105"/>
    <n v="325"/>
  </r>
  <r>
    <x v="1"/>
    <x v="3"/>
    <n v="85759"/>
    <n v="24448"/>
    <x v="10"/>
    <n v="29551"/>
    <n v="6816"/>
    <n v="36367"/>
    <n v="966"/>
    <n v="223"/>
    <n v="1189"/>
    <n v="1232"/>
    <n v="361"/>
    <n v="1593"/>
    <n v="81"/>
    <n v="29"/>
    <n v="110"/>
    <n v="240"/>
    <n v="65"/>
    <n v="305"/>
    <n v="24"/>
    <n v="8"/>
    <n v="32"/>
  </r>
  <r>
    <x v="1"/>
    <x v="4"/>
    <n v="3719"/>
    <n v="1612"/>
    <x v="11"/>
    <n v="1419"/>
    <n v="403"/>
    <n v="1822"/>
    <n v="48"/>
    <n v="16"/>
    <n v="64"/>
    <n v="62"/>
    <n v="25"/>
    <n v="87"/>
    <n v="5"/>
    <n v="3"/>
    <n v="8"/>
    <n v="4"/>
    <n v="1"/>
    <n v="5"/>
    <n v="2"/>
    <n v="1"/>
    <n v="3"/>
  </r>
  <r>
    <x v="1"/>
    <x v="5"/>
    <n v="1645"/>
    <n v="687"/>
    <x v="12"/>
    <n v="1359"/>
    <n v="340"/>
    <n v="1699"/>
    <n v="32"/>
    <n v="11"/>
    <n v="43"/>
    <n v="38"/>
    <n v="14"/>
    <n v="52"/>
    <n v="3"/>
    <n v="1"/>
    <n v="4"/>
    <n v="4"/>
    <n v="1"/>
    <n v="5"/>
    <n v="1"/>
    <n v="1"/>
    <n v="2"/>
  </r>
  <r>
    <x v="1"/>
    <x v="6"/>
    <n v="0"/>
    <n v="0"/>
    <x v="6"/>
    <n v="0"/>
    <n v="0"/>
    <n v="0"/>
    <n v="0"/>
    <n v="0"/>
    <n v="0"/>
    <n v="0"/>
    <n v="0"/>
    <n v="0"/>
    <n v="0"/>
    <n v="0"/>
    <n v="0"/>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4AA7E0-8111-4F86-99B1-28EF3A62B58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80:C96" firstHeaderRow="0" firstDataRow="1" firstDataCol="1"/>
  <pivotFields count="10">
    <pivotField showAll="0"/>
    <pivotField showAll="0"/>
    <pivotField showAll="0"/>
    <pivotField axis="axisRow" showAll="0">
      <items count="16">
        <item x="1"/>
        <item x="2"/>
        <item x="3"/>
        <item x="4"/>
        <item x="5"/>
        <item x="6"/>
        <item x="7"/>
        <item x="8"/>
        <item x="9"/>
        <item x="10"/>
        <item x="11"/>
        <item x="12"/>
        <item x="13"/>
        <item x="14"/>
        <item x="0"/>
        <item t="default"/>
      </items>
    </pivotField>
    <pivotField numFmtId="3" showAll="0"/>
    <pivotField numFmtId="3" showAll="0"/>
    <pivotField dataField="1" numFmtId="3" showAll="0"/>
    <pivotField dataField="1" numFmtId="3" showAll="0"/>
    <pivotField numFmtId="3" showAll="0"/>
    <pivotField dragToRow="0" dragToCol="0" dragToPage="0" showAll="0" defaultSubtotal="0"/>
  </pivotFields>
  <rowFields count="1">
    <field x="3"/>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Total no. of surviving children (Male)" fld="6" baseField="0" baseItem="0" numFmtId="3"/>
    <dataField name="Sum of Total no. of surviving children (Female)" fld="7" baseField="0" baseItem="0" numFmtId="3"/>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B9E0EC-CED4-4097-893D-C91BDB4F61C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69:H72" firstHeaderRow="0" firstDataRow="1" firstDataCol="1"/>
  <pivotFields count="10">
    <pivotField showAll="0"/>
    <pivotField showAll="0"/>
    <pivotField axis="axisRow" showAll="0">
      <items count="3">
        <item x="0"/>
        <item x="1"/>
        <item t="default"/>
      </items>
    </pivotField>
    <pivotField showAll="0"/>
    <pivotField numFmtId="3" showAll="0"/>
    <pivotField dataField="1" numFmtId="3" showAll="0"/>
    <pivotField numFmtId="3" showAll="0"/>
    <pivotField numFmtId="3" showAll="0"/>
    <pivotField dataField="1" numFmtId="3" showAll="0"/>
    <pivotField dragToRow="0" dragToCol="0" dragToPage="0" showAll="0" defaultSubtotal="0"/>
  </pivotFields>
  <rowFields count="1">
    <field x="2"/>
  </rowFields>
  <rowItems count="3">
    <i>
      <x/>
    </i>
    <i>
      <x v="1"/>
    </i>
    <i t="grand">
      <x/>
    </i>
  </rowItems>
  <colFields count="1">
    <field x="-2"/>
  </colFields>
  <colItems count="2">
    <i>
      <x/>
    </i>
    <i i="1">
      <x v="1"/>
    </i>
  </colItems>
  <dataFields count="2">
    <dataField name="Sum of Total ever married women" fld="5" baseField="0" baseItem="0" numFmtId="3"/>
    <dataField name="Sum of Total Surviving Children" fld="8" baseField="0" baseItem="0" numFmtId="3"/>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2"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96A118-44BC-4815-8746-451B173C2E4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L65:M81" firstHeaderRow="1" firstDataRow="1" firstDataCol="1"/>
  <pivotFields count="10">
    <pivotField showAll="0"/>
    <pivotField showAll="0"/>
    <pivotField showAll="0"/>
    <pivotField axis="axisRow" showAll="0">
      <items count="16">
        <item x="1"/>
        <item x="2"/>
        <item x="3"/>
        <item x="4"/>
        <item x="5"/>
        <item x="6"/>
        <item x="7"/>
        <item x="8"/>
        <item x="9"/>
        <item x="10"/>
        <item x="11"/>
        <item x="12"/>
        <item x="13"/>
        <item x="14"/>
        <item x="0"/>
        <item t="default"/>
      </items>
    </pivotField>
    <pivotField numFmtId="3" showAll="0"/>
    <pivotField numFmtId="3" showAll="0"/>
    <pivotField numFmtId="3" showAll="0"/>
    <pivotField numFmtId="3" showAll="0"/>
    <pivotField dataField="1" numFmtId="3" showAll="0"/>
    <pivotField dragToRow="0" dragToCol="0" dragToPage="0" showAll="0" defaultSubtotal="0"/>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Sum of Total Surviving Children" fld="8" baseField="0" baseItem="0" numFmtId="3"/>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2A944B-7546-4EE5-A29E-DB1C362B514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92:G95" firstHeaderRow="0" firstDataRow="1" firstDataCol="1"/>
  <pivotFields count="10">
    <pivotField showAll="0"/>
    <pivotField axis="axisRow" showAll="0">
      <items count="3">
        <item x="0"/>
        <item x="1"/>
        <item t="default"/>
      </items>
    </pivotField>
    <pivotField showAll="0">
      <items count="3">
        <item x="0"/>
        <item x="1"/>
        <item t="default"/>
      </items>
    </pivotField>
    <pivotField showAll="0"/>
    <pivotField numFmtId="3" showAll="0"/>
    <pivotField numFmtId="3" showAll="0"/>
    <pivotField numFmtId="3" showAll="0"/>
    <pivotField numFmtId="3" showAll="0"/>
    <pivotField dataField="1" numFmtId="3" showAll="0"/>
    <pivotField dragToRow="0" dragToCol="0" dragToPage="0" showAll="0" defaultSubtotal="0"/>
  </pivotFields>
  <rowFields count="1">
    <field x="1"/>
  </rowFields>
  <rowItems count="3">
    <i>
      <x/>
    </i>
    <i>
      <x v="1"/>
    </i>
    <i t="grand">
      <x/>
    </i>
  </rowItems>
  <colFields count="1">
    <field x="-2"/>
  </colFields>
  <colItems count="2">
    <i>
      <x/>
    </i>
    <i i="1">
      <x v="1"/>
    </i>
  </colItems>
  <dataFields count="2">
    <dataField name="Sum of Total Surviving Children" fld="8" baseField="0" baseItem="0" numFmtId="3"/>
    <dataField name="Percentage of Total Surviving Children" fld="8" showDataAs="percentOfCo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1"/>
          </reference>
          <reference field="1" count="1" selected="0">
            <x v="0"/>
          </reference>
        </references>
      </pivotArea>
    </chartFormat>
    <chartFormat chart="0" format="5">
      <pivotArea type="data" outline="0" fieldPosition="0">
        <references count="2">
          <reference field="4294967294" count="1" selected="0">
            <x v="1"/>
          </reference>
          <reference field="1"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 count="1" selected="0">
            <x v="0"/>
          </reference>
        </references>
      </pivotArea>
    </chartFormat>
    <chartFormat chart="7" format="14">
      <pivotArea type="data" outline="0" fieldPosition="0">
        <references count="2">
          <reference field="4294967294" count="1" selected="0">
            <x v="0"/>
          </reference>
          <reference field="1" count="1" selected="0">
            <x v="1"/>
          </reference>
        </references>
      </pivotArea>
    </chartFormat>
    <chartFormat chart="7" format="15" series="1">
      <pivotArea type="data" outline="0" fieldPosition="0">
        <references count="1">
          <reference field="4294967294" count="1" selected="0">
            <x v="1"/>
          </reference>
        </references>
      </pivotArea>
    </chartFormat>
    <chartFormat chart="7" format="16">
      <pivotArea type="data" outline="0" fieldPosition="0">
        <references count="2">
          <reference field="4294967294" count="1" selected="0">
            <x v="1"/>
          </reference>
          <reference field="1" count="1" selected="0">
            <x v="0"/>
          </reference>
        </references>
      </pivotArea>
    </chartFormat>
    <chartFormat chart="7" format="17">
      <pivotArea type="data" outline="0" fieldPosition="0">
        <references count="2">
          <reference field="4294967294" count="1" selected="0">
            <x v="1"/>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4BF477-0A32-4C40-AA58-6456ADF7B4E1}" name="PivotTable5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L23:O30" firstHeaderRow="1" firstDataRow="2" firstDataCol="1"/>
  <pivotFields count="9">
    <pivotField showAll="0"/>
    <pivotField axis="axisCol" showAll="0">
      <items count="3">
        <item x="0"/>
        <item x="1"/>
        <item t="default"/>
      </items>
    </pivotField>
    <pivotField axis="axisRow" showAll="0">
      <items count="6">
        <item x="0"/>
        <item x="1"/>
        <item x="2"/>
        <item x="3"/>
        <item x="4"/>
        <item t="default"/>
      </items>
    </pivotField>
    <pivotField showAll="0"/>
    <pivotField showAll="0"/>
    <pivotField dataField="1" showAll="0"/>
    <pivotField numFmtId="2" showAll="0"/>
    <pivotField numFmtId="9" showAll="0"/>
    <pivotField numFmtId="9" showAll="0"/>
  </pivotFields>
  <rowFields count="1">
    <field x="2"/>
  </rowFields>
  <rowItems count="6">
    <i>
      <x/>
    </i>
    <i>
      <x v="1"/>
    </i>
    <i>
      <x v="2"/>
    </i>
    <i>
      <x v="3"/>
    </i>
    <i>
      <x v="4"/>
    </i>
    <i t="grand">
      <x/>
    </i>
  </rowItems>
  <colFields count="1">
    <field x="1"/>
  </colFields>
  <colItems count="3">
    <i>
      <x/>
    </i>
    <i>
      <x v="1"/>
    </i>
    <i t="grand">
      <x/>
    </i>
  </colItems>
  <dataFields count="1">
    <dataField name="Sum of Total Population" fld="5"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9" format="4" series="1">
      <pivotArea type="data" outline="0" fieldPosition="0">
        <references count="2">
          <reference field="4294967294" count="1" selected="0">
            <x v="0"/>
          </reference>
          <reference field="1" count="1" selected="0">
            <x v="0"/>
          </reference>
        </references>
      </pivotArea>
    </chartFormat>
    <chartFormat chart="9"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6532BA-D4BC-45F1-9CA1-911F28191129}" name="PivotTable19"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F25:G27" firstHeaderRow="1" firstDataRow="1" firstDataCol="1"/>
  <pivotFields count="15">
    <pivotField axis="axisRow" showAll="0">
      <items count="3">
        <item x="0"/>
        <item x="1"/>
        <item t="default"/>
      </items>
    </pivotField>
    <pivotField showAll="0">
      <items count="8">
        <item x="1"/>
        <item x="2"/>
        <item x="3"/>
        <item x="4"/>
        <item x="5"/>
        <item x="6"/>
        <item x="0"/>
        <item t="default"/>
      </items>
    </pivotField>
    <pivotField showAll="0">
      <items count="15">
        <item x="4"/>
        <item x="3"/>
        <item x="6"/>
        <item x="2"/>
        <item x="1"/>
        <item x="11"/>
        <item x="13"/>
        <item x="10"/>
        <item x="9"/>
        <item x="5"/>
        <item x="8"/>
        <item x="0"/>
        <item x="7"/>
        <item x="12"/>
        <item t="default"/>
      </items>
    </pivotField>
    <pivotField showAll="0">
      <items count="15">
        <item x="4"/>
        <item x="3"/>
        <item x="6"/>
        <item x="2"/>
        <item x="1"/>
        <item x="11"/>
        <item x="13"/>
        <item x="10"/>
        <item x="9"/>
        <item x="5"/>
        <item x="8"/>
        <item x="0"/>
        <item x="7"/>
        <item x="12"/>
        <item t="default"/>
      </items>
    </pivotField>
    <pivotField showAll="0"/>
    <pivotField showAll="0">
      <items count="15">
        <item x="4"/>
        <item x="6"/>
        <item x="3"/>
        <item x="5"/>
        <item x="13"/>
        <item x="11"/>
        <item x="2"/>
        <item x="10"/>
        <item x="12"/>
        <item x="1"/>
        <item x="9"/>
        <item x="8"/>
        <item x="0"/>
        <item x="7"/>
        <item t="default"/>
      </items>
    </pivotField>
    <pivotField showAll="0">
      <items count="15">
        <item x="6"/>
        <item x="4"/>
        <item x="3"/>
        <item x="5"/>
        <item x="13"/>
        <item x="11"/>
        <item x="2"/>
        <item x="10"/>
        <item x="12"/>
        <item x="1"/>
        <item x="9"/>
        <item x="8"/>
        <item x="0"/>
        <item x="7"/>
        <item t="default"/>
      </items>
    </pivotField>
    <pivotField dataField="1" showAll="0"/>
    <pivotField numFmtId="9" showAll="0"/>
    <pivotField numFmtId="9" showAll="0"/>
    <pivotField numFmtId="9" showAll="0"/>
    <pivotField showAll="0"/>
    <pivotField showAll="0"/>
    <pivotField numFmtId="9" showAll="0"/>
    <pivotField numFmtId="9" showAll="0"/>
  </pivotFields>
  <rowFields count="1">
    <field x="0"/>
  </rowFields>
  <rowItems count="2">
    <i>
      <x/>
    </i>
    <i>
      <x v="1"/>
    </i>
  </rowItems>
  <colItems count="1">
    <i/>
  </colItems>
  <dataFields count="1">
    <dataField name="Sum of Total" fld="7"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2F05FB-1665-424B-A167-766A88FFA11D}"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5:C33" firstHeaderRow="0" firstDataRow="1" firstDataCol="1"/>
  <pivotFields count="15">
    <pivotField showAll="0"/>
    <pivotField axis="axisRow" showAll="0">
      <items count="8">
        <item x="1"/>
        <item x="2"/>
        <item x="3"/>
        <item x="4"/>
        <item x="5"/>
        <item x="6"/>
        <item x="0"/>
        <item t="default"/>
      </items>
    </pivotField>
    <pivotField dataField="1" showAll="0"/>
    <pivotField dataField="1" showAll="0"/>
    <pivotField showAll="0"/>
    <pivotField showAll="0"/>
    <pivotField showAll="0"/>
    <pivotField showAll="0"/>
    <pivotField numFmtId="9" showAll="0"/>
    <pivotField numFmtId="9" showAll="0"/>
    <pivotField numFmtId="9" showAll="0"/>
    <pivotField showAll="0"/>
    <pivotField showAll="0"/>
    <pivotField numFmtId="9" showAll="0"/>
    <pivotField numFmtId="9" showAll="0"/>
  </pivotFields>
  <rowFields count="1">
    <field x="1"/>
  </rowFields>
  <rowItems count="8">
    <i>
      <x/>
    </i>
    <i>
      <x v="1"/>
    </i>
    <i>
      <x v="2"/>
    </i>
    <i>
      <x v="3"/>
    </i>
    <i>
      <x v="4"/>
    </i>
    <i>
      <x v="5"/>
    </i>
    <i>
      <x v="6"/>
    </i>
    <i t="grand">
      <x/>
    </i>
  </rowItems>
  <colFields count="1">
    <field x="-2"/>
  </colFields>
  <colItems count="2">
    <i>
      <x/>
    </i>
    <i i="1">
      <x v="1"/>
    </i>
  </colItems>
  <dataFields count="2">
    <dataField name="Sum of Male Population " fld="2" baseField="0" baseItem="0"/>
    <dataField name="Sum of Female Population" fld="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83E10F-4D1E-4688-A27D-302CA285A019}" name="PivotTable20"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I25:K32" firstHeaderRow="0" firstDataRow="1" firstDataCol="1"/>
  <pivotFields count="15">
    <pivotField showAll="0">
      <items count="3">
        <item x="0"/>
        <item x="1"/>
        <item t="default"/>
      </items>
    </pivotField>
    <pivotField axis="axisRow" showAll="0">
      <items count="8">
        <item x="1"/>
        <item x="2"/>
        <item x="3"/>
        <item x="4"/>
        <item x="5"/>
        <item x="6"/>
        <item x="0"/>
        <item t="default"/>
      </items>
    </pivotField>
    <pivotField showAll="0"/>
    <pivotField showAll="0"/>
    <pivotField showAll="0"/>
    <pivotField showAll="0"/>
    <pivotField showAll="0"/>
    <pivotField showAll="0"/>
    <pivotField dataField="1" numFmtId="9" showAll="0"/>
    <pivotField dataField="1" numFmtId="9" showAll="0"/>
    <pivotField numFmtId="9" showAll="0"/>
    <pivotField showAll="0"/>
    <pivotField showAll="0"/>
    <pivotField numFmtId="9" showAll="0"/>
    <pivotField numFmtId="9" showAll="0"/>
  </pivotFields>
  <rowFields count="1">
    <field x="1"/>
  </rowFields>
  <rowItems count="7">
    <i>
      <x/>
    </i>
    <i>
      <x v="1"/>
    </i>
    <i>
      <x v="2"/>
    </i>
    <i>
      <x v="3"/>
    </i>
    <i>
      <x v="4"/>
    </i>
    <i>
      <x v="5"/>
    </i>
    <i>
      <x v="6"/>
    </i>
  </rowItems>
  <colFields count="1">
    <field x="-2"/>
  </colFields>
  <colItems count="2">
    <i>
      <x/>
    </i>
    <i i="1">
      <x v="1"/>
    </i>
  </colItems>
  <dataFields count="2">
    <dataField name="Sum of Education Attendance Rate (Female)" fld="9" baseField="0" baseItem="0" numFmtId="9"/>
    <dataField name="Sum of Education Attendance Rate (Male)" fld="8" baseField="0" baseItem="0" numFmtId="9"/>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FB0B01-EE20-45AF-A23D-3BCAF7FA54EB}" name="PivotTable2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F22:M25" firstHeaderRow="0" firstDataRow="1" firstDataCol="1"/>
  <pivotFields count="23">
    <pivotField axis="axisRow" showAll="0">
      <items count="3">
        <item x="0"/>
        <item x="1"/>
        <item t="default"/>
      </items>
    </pivotField>
    <pivotField showAll="0">
      <items count="8">
        <item x="5"/>
        <item x="2"/>
        <item x="1"/>
        <item x="4"/>
        <item x="0"/>
        <item x="6"/>
        <item x="3"/>
        <item t="default"/>
      </items>
    </pivotField>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s>
  <rowFields count="1">
    <field x="0"/>
  </rowFields>
  <rowItems count="3">
    <i>
      <x/>
    </i>
    <i>
      <x v="1"/>
    </i>
    <i t="grand">
      <x/>
    </i>
  </rowItems>
  <colFields count="1">
    <field x="-2"/>
  </colFields>
  <colItems count="7">
    <i>
      <x/>
    </i>
    <i i="1">
      <x v="1"/>
    </i>
    <i i="2">
      <x v="2"/>
    </i>
    <i i="3">
      <x v="3"/>
    </i>
    <i i="4">
      <x v="4"/>
    </i>
    <i i="5">
      <x v="5"/>
    </i>
    <i i="6">
      <x v="6"/>
    </i>
  </colItems>
  <dataFields count="7">
    <dataField name="Sum of Total Hindu Population" fld="4" baseField="0" baseItem="0"/>
    <dataField name="Sum of Total Muslim Population" fld="7" baseField="0" baseItem="0"/>
    <dataField name="Sum of Total Christian Population" fld="10" baseField="0" baseItem="0"/>
    <dataField name="Sum of Total  Sikh Population" fld="13" baseField="0" baseItem="0"/>
    <dataField name="Sum of Total Buddhist Population" fld="16" baseField="0" baseItem="0"/>
    <dataField name="Sum of Tota Jain Population" fld="19" baseField="0" baseItem="0"/>
    <dataField name="Sum of Other Population" fld="22"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pivotArea type="data" outline="0" fieldPosition="0">
        <references count="2">
          <reference field="4294967294" count="1" selected="0">
            <x v="0"/>
          </reference>
          <reference field="0" count="1" selected="0">
            <x v="1"/>
          </reference>
        </references>
      </pivotArea>
    </chartFormat>
    <chartFormat chart="0" format="8">
      <pivotArea type="data" outline="0" fieldPosition="0">
        <references count="2">
          <reference field="4294967294" count="1" selected="0">
            <x v="0"/>
          </reference>
          <reference field="0" count="1" selected="0">
            <x v="0"/>
          </reference>
        </references>
      </pivotArea>
    </chartFormat>
    <chartFormat chart="9" format="16" series="1">
      <pivotArea type="data" outline="0" fieldPosition="0">
        <references count="1">
          <reference field="4294967294" count="1" selected="0">
            <x v="0"/>
          </reference>
        </references>
      </pivotArea>
    </chartFormat>
    <chartFormat chart="9" format="17" series="1">
      <pivotArea type="data" outline="0" fieldPosition="0">
        <references count="1">
          <reference field="4294967294" count="1" selected="0">
            <x v="1"/>
          </reference>
        </references>
      </pivotArea>
    </chartFormat>
    <chartFormat chart="9" format="18" series="1">
      <pivotArea type="data" outline="0" fieldPosition="0">
        <references count="1">
          <reference field="4294967294" count="1" selected="0">
            <x v="2"/>
          </reference>
        </references>
      </pivotArea>
    </chartFormat>
    <chartFormat chart="9" format="19" series="1">
      <pivotArea type="data" outline="0" fieldPosition="0">
        <references count="1">
          <reference field="4294967294" count="1" selected="0">
            <x v="3"/>
          </reference>
        </references>
      </pivotArea>
    </chartFormat>
    <chartFormat chart="9" format="20" series="1">
      <pivotArea type="data" outline="0" fieldPosition="0">
        <references count="1">
          <reference field="4294967294" count="1" selected="0">
            <x v="4"/>
          </reference>
        </references>
      </pivotArea>
    </chartFormat>
    <chartFormat chart="9" format="21" series="1">
      <pivotArea type="data" outline="0" fieldPosition="0">
        <references count="1">
          <reference field="4294967294" count="1" selected="0">
            <x v="5"/>
          </reference>
        </references>
      </pivotArea>
    </chartFormat>
    <chartFormat chart="9" format="22"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0558450-E2E9-4451-9E66-61F3563F6066}" sourceName="Marital Status">
  <pivotTables>
    <pivotTable tabId="2" name="PivotTable24"/>
  </pivotTables>
  <data>
    <tabular pivotCacheId="30200388">
      <items count="7">
        <i x="5" s="1"/>
        <i x="2" s="1"/>
        <i x="1" s="1"/>
        <i x="4" s="1"/>
        <i x="0" s="1"/>
        <i x="6"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CFE99818-3D43-46D3-A99D-63D84A75BCB0}" sourceName="Age Group">
  <pivotTables>
    <pivotTable tabId="4" name="PivotTable19"/>
  </pivotTables>
  <data>
    <tabular pivotCacheId="1272667327">
      <items count="7">
        <i x="1" s="1"/>
        <i x="2" s="1"/>
        <i x="3" s="1"/>
        <i x="4" s="1"/>
        <i x="5"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rban_Rural" xr10:uid="{4BA21A04-34AB-4438-87DB-A31BB31CD575}" sourceName="Urban/Rural">
  <pivotTables>
    <pivotTable tabId="2" name="PivotTable24"/>
  </pivotTables>
  <data>
    <tabular pivotCacheId="3020038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al_Level" xr10:uid="{874B0E93-025A-4A59-9221-2A4505B24C38}" sourceName="Educational Level">
  <pivotTables>
    <pivotTable tabId="1" name="PivotTable3"/>
  </pivotTables>
  <data>
    <tabular pivotCacheId="93143432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al Level" xr10:uid="{777C139A-37A0-4F2D-9FF6-71FB54C7D5E2}" cache="Slicer_Educational_Level" caption="Educational Level" style="Slicer Style 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FD3557FF-7921-4AAF-A7D3-D2FF1D2D48A5}" cache="Slicer_Age_Group" caption="Age Group"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CF26D51-08DD-4A69-ABB8-FD35AD948C7B}" cache="Slicer_Marital_Status" caption="Marital Status" style="Slicer Style 5" rowHeight="241300"/>
  <slicer name="Urban/Rural" xr10:uid="{63F8A874-D066-4614-8E06-8F58240AB4B8}" cache="Slicer_Urban_Rural" caption="Urban/Rural" style="Slicer Style 4"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760BEB19-58FF-4CCB-A72C-AADCE3B77F99}" cache="Slicer_Marital_Status" caption="Marital Status" startItem="5" style="Slicer Style 5" rowHeight="241300"/>
  <slicer name="Age Group 1" xr10:uid="{52F3DC70-0D6D-4A73-B530-FCD0C3341181}" cache="Slicer_Age_Group" caption="Age Group" style="Slicer Style 4" rowHeight="241300"/>
  <slicer name="Urban/Rural 1" xr10:uid="{64C46799-618F-4A17-81BE-1570220A5C33}" cache="Slicer_Urban_Rural" caption="Urban/Rural" style="Slicer Style 4" rowHeight="241300"/>
  <slicer name="Educational Level 1" xr10:uid="{C4615821-D28C-40C8-9D06-9D5EB194B648}" cache="Slicer_Educational_Level" caption="Educational Level" style="Slicer Style 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3BC666-5D79-4B7D-9BBA-A0F208EB216C}" name="Surviving" displayName="Surviving" ref="A3:I63" totalsRowShown="0" headerRowDxfId="96" headerRowBorderDxfId="95" tableBorderDxfId="94" totalsRowBorderDxfId="93">
  <tableColumns count="9">
    <tableColumn id="1" xr3:uid="{C3B207E4-8AF5-4122-B6C6-EC9742F4BBB9}" name="Area Name_x000a_" dataDxfId="92"/>
    <tableColumn id="2" xr3:uid="{C973C813-A92E-4775-B1FD-CE453EF05131}" name="Urban/ Rural" dataDxfId="91"/>
    <tableColumn id="3" xr3:uid="{601B2B36-A0B1-42C1-A42B-799823FC705A}" name="Educational Level" dataDxfId="90"/>
    <tableColumn id="4" xr3:uid="{170A03CD-0AE4-4C29-A4EF-9D4B61E5E48D}" name="Present Age of women" dataDxfId="89"/>
    <tableColumn id="5" xr3:uid="{1155E920-8497-4F1A-B9AA-9DFA8B2D9A66}" name="Total Women" dataDxfId="88"/>
    <tableColumn id="6" xr3:uid="{D6A3F9EC-50C6-4AA7-8D58-38591598833E}" name="Total ever married women" dataDxfId="87"/>
    <tableColumn id="7" xr3:uid="{F9255424-B875-4D1C-B77F-16130F33DDEB}" name="Total no. of surviving children (Male)" dataDxfId="86"/>
    <tableColumn id="8" xr3:uid="{A25BC608-A7D7-4768-8EEC-1C6C5B44E314}" name="Total no. of surviving children (Female)" dataDxfId="85"/>
    <tableColumn id="9" xr3:uid="{E902E24B-22F5-4A0B-B473-9657C464D515}" name="Total Surviving Children" dataDxfId="84">
      <calculatedColumnFormula>SUM(G4,H4)</calculatedColumnFormula>
    </tableColumn>
  </tableColumns>
  <tableStyleInfo name="TableStyleLight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FA8233-05CA-4236-8281-E0916A8EAC9D}" name="Population" displayName="Population" ref="A3:I13" totalsRowShown="0" headerRowDxfId="83" headerRowBorderDxfId="82" tableBorderDxfId="81" totalsRowBorderDxfId="80">
  <tableColumns count="9">
    <tableColumn id="1" xr3:uid="{C441ED27-10AD-4D05-B325-B905A5D65AB7}" name="Area Name" dataDxfId="79"/>
    <tableColumn id="2" xr3:uid="{6898B3B4-3F5B-4E70-993F-EA4C11CEA5CA}" name="Urban/ Rural" dataDxfId="78"/>
    <tableColumn id="3" xr3:uid="{313C8507-DCAC-42BE-8FC5-066D10265466}" name="Age Group" dataDxfId="77"/>
    <tableColumn id="4" xr3:uid="{72431046-3502-4E8E-B7D3-D15CF2AF1A4E}" name="Male Population " dataDxfId="76"/>
    <tableColumn id="5" xr3:uid="{D68A9DF6-7810-4690-BD82-CA346FBFB030}" name="Female Population" dataDxfId="75"/>
    <tableColumn id="6" xr3:uid="{A416D664-5BE4-4DEE-99EB-53BE68CE1AFE}" name="Total Population" dataDxfId="74">
      <calculatedColumnFormula>SUM(Population[[#This Row],[Male Population ]:[Female Population]])</calculatedColumnFormula>
    </tableColumn>
    <tableColumn id="7" xr3:uid="{3C41515D-694C-463F-8AD9-717A02E6BADE}" name="Male Female Ratio" dataDxfId="73">
      <calculatedColumnFormula>IF(Population[[#This Row],[Female Population]]=0,"",Population[[#This Row],[Male Population ]]/Population[[#This Row],[Female Population]])</calculatedColumnFormula>
    </tableColumn>
    <tableColumn id="9" xr3:uid="{9135E404-BBB0-4E8C-9CF5-E5FE044E401F}" name="Male %" dataDxfId="72" dataCellStyle="Percent">
      <calculatedColumnFormula>IFERROR(Population[[#This Row],[Male Population ]]/Population[[#This Row],[Total Population]],0)</calculatedColumnFormula>
    </tableColumn>
    <tableColumn id="10" xr3:uid="{5E20D34A-33F3-4C35-B4FD-55AFB2B32E86}" name="Female %" dataDxfId="71" dataCellStyle="Percent">
      <calculatedColumnFormula>IFERROR(Population[[#This Row],[Female Population]]/Population[[#This Row],[Total Population]],0)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2C38A96-68C8-4234-A0F7-BC0BC4964F0B}" name="Education" displayName="Education" ref="B3:P17" totalsRowShown="0" headerRowDxfId="70" headerRowBorderDxfId="69" tableBorderDxfId="68">
  <tableColumns count="15">
    <tableColumn id="1" xr3:uid="{4D19E668-45C4-4E2C-A96C-658BEF51DA4E}" name="Urban/ Rural" dataDxfId="67"/>
    <tableColumn id="2" xr3:uid="{452EE0E9-8537-45A6-952C-CB0F8751E467}" name="Age Group" dataDxfId="66"/>
    <tableColumn id="3" xr3:uid="{E81E9EE3-6C60-41ED-A19C-470D3E5C7A6B}" name="Male Population " dataDxfId="65"/>
    <tableColumn id="4" xr3:uid="{2E0FDF1C-0AE6-4036-8A97-ACF4925B2D5D}" name="Female Population" dataDxfId="64"/>
    <tableColumn id="5" xr3:uid="{2F2F2010-094B-43AB-948E-878D4FC98869}" name="Total Population" dataDxfId="63">
      <calculatedColumnFormula>Education[[#This Row],[Male Population ]]+Education[[#This Row],[Female Population]]</calculatedColumnFormula>
    </tableColumn>
    <tableColumn id="6" xr3:uid="{1935DA51-425D-4280-9F14-07558D5CB891}" name="Population attending educational institution (Male)" dataDxfId="62"/>
    <tableColumn id="7" xr3:uid="{31B4395A-55FF-40B9-A0EE-6DEEAAC67FC1}" name="Population attending educational institution (Female)" dataDxfId="61"/>
    <tableColumn id="8" xr3:uid="{11C0DC9F-D5B1-41DD-86A4-B3BF7750C143}" name="Total" dataDxfId="60">
      <calculatedColumnFormula>Education[[#This Row],[Population attending educational institution (Male)]]+Education[[#This Row],[Population attending educational institution (Female)]]</calculatedColumnFormula>
    </tableColumn>
    <tableColumn id="9" xr3:uid="{DFF9B40E-F579-427D-B80C-D4131DF1CCAE}" name="Education Attendance Rate (Male)" dataDxfId="59" dataCellStyle="Percent">
      <calculatedColumnFormula>Education[[#This Row],[Population attending educational institution (Male)]]/Education[[#This Row],[Male Population ]]</calculatedColumnFormula>
    </tableColumn>
    <tableColumn id="10" xr3:uid="{E9475DD7-5F5F-4368-A9F0-63418E5B1813}" name="Education Attendance Rate (Female)" dataDxfId="58" dataCellStyle="Percent">
      <calculatedColumnFormula>Education[[#This Row],[Population attending educational institution (Female)]]/Education[[#This Row],[Female Population]]</calculatedColumnFormula>
    </tableColumn>
    <tableColumn id="11" xr3:uid="{78693815-44BB-43D2-A6E9-9BCB0243A78B}" name="Overall Education Attendance Rate" dataDxfId="57" dataCellStyle="Percent">
      <calculatedColumnFormula>Education[[#This Row],[Total]] / Education[[#This Row],[Total Population]]</calculatedColumnFormula>
    </tableColumn>
    <tableColumn id="12" xr3:uid="{A0C7A6DC-9FDA-44DE-9E01-98413337B968}" name="Gender Gap in Education Attendance" dataDxfId="56">
      <calculatedColumnFormula>(Education[[#This Row],[Population attending educational institution (Male)]] / Education[[#This Row],[Male Population ]]) - (Education[[#This Row],[Population attending educational institution (Female)]] / Education[[#This Row],[Female Population]])</calculatedColumnFormula>
    </tableColumn>
    <tableColumn id="13" xr3:uid="{C2DEDE13-5B12-4530-A45C-30B5400520E7}" name="Male–Female Population Ratio" dataDxfId="55">
      <calculatedColumnFormula>Education[[#This Row],[Male Population ]] / Education[[#This Row],[Female Population]]</calculatedColumnFormula>
    </tableColumn>
    <tableColumn id="14" xr3:uid="{37E2FC4B-209D-4675-8512-40010DDDFBDC}" name="% of Educated Population by Gender(Male)" dataDxfId="54" dataCellStyle="Percent">
      <calculatedColumnFormula>Education[[#This Row],[Population attending educational institution (Male)]] / Education[[#This Row],[Total]]</calculatedColumnFormula>
    </tableColumn>
    <tableColumn id="15" xr3:uid="{234613F4-9BBD-4736-801B-E36C316556FE}" name="% of Educated Population by Gender(Female)" dataDxfId="53" dataCellStyle="Percent">
      <calculatedColumnFormula>Education[[#This Row],[Population attending educational institution (Female)]] / Education[[#This Row],[Total]]</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A0A193F-B150-43FA-8000-F5E6BE2E91D6}" name="Marital" displayName="Marital" ref="B3:Y18" totalsRowCount="1" headerRowDxfId="52" dataDxfId="50" headerRowBorderDxfId="51" tableBorderDxfId="49" totalsRowBorderDxfId="48">
  <tableColumns count="24">
    <tableColumn id="1" xr3:uid="{9C15A2EA-CF43-4715-B83B-47843D9E5289}" name="Urban/Rural" dataDxfId="47" totalsRowDxfId="46"/>
    <tableColumn id="2" xr3:uid="{54759889-0B4D-430C-8711-FBF8AA7E0C6E}" name="Marital Status" dataDxfId="45" totalsRowDxfId="44"/>
    <tableColumn id="6" xr3:uid="{2A1EAB9F-B8F2-46C7-9F60-85643C5E29C7}" name="Total Hindu Male Population" dataDxfId="43" totalsRowDxfId="42"/>
    <tableColumn id="7" xr3:uid="{D29AFF78-5AE1-455B-915C-430138D1A435}" name="Total Hindu Female Population" dataDxfId="41" totalsRowDxfId="40"/>
    <tableColumn id="8" xr3:uid="{5832770A-551E-4E91-BFEC-5A1EF17FA94A}" name="Total Hindu Population" dataDxfId="39" totalsRowDxfId="38">
      <calculatedColumnFormula>SUM(Marital[[#This Row],[Total Hindu Male Population]:[Total Hindu Female Population]])</calculatedColumnFormula>
    </tableColumn>
    <tableColumn id="9" xr3:uid="{CB77B858-9ED9-4109-83F1-22FD9FC40600}" name="Total Muslim Male Population" dataDxfId="37" totalsRowDxfId="36"/>
    <tableColumn id="10" xr3:uid="{A0EE657F-D9DA-448F-B135-EA9D4871B50E}" name="Total Muslim Female Population" dataDxfId="35" totalsRowDxfId="34"/>
    <tableColumn id="11" xr3:uid="{B7C0001C-E6CE-46B2-BA88-5C9C55EBB633}" name="Total Muslim Population" dataDxfId="33" totalsRowDxfId="32">
      <calculatedColumnFormula>SUM(G4:H4)</calculatedColumnFormula>
    </tableColumn>
    <tableColumn id="12" xr3:uid="{9512AE1A-4C25-402B-883C-7A34E7C2CFA1}" name="Total Christian Male Population" dataDxfId="31" totalsRowDxfId="30"/>
    <tableColumn id="13" xr3:uid="{01060490-6A4A-454A-A1EB-2EE8375EAC6A}" name="Total Christian Female Population" dataDxfId="29" totalsRowDxfId="28"/>
    <tableColumn id="14" xr3:uid="{482DA211-6881-48DE-8501-633A423D6D67}" name="Total Christian Population" dataDxfId="27" totalsRowDxfId="26">
      <calculatedColumnFormula>SUM(Marital[[#This Row],[Total Christian Male Population]:[Total Christian Female Population]])</calculatedColumnFormula>
    </tableColumn>
    <tableColumn id="15" xr3:uid="{E9083C13-9BDF-486A-A132-27DB130AEBD8}" name="Total  Sikh Male Population" dataDxfId="25" totalsRowDxfId="24"/>
    <tableColumn id="16" xr3:uid="{ACB7C4FE-511A-4B73-9BBD-CDC6672428E8}" name="Total  Sikh Female Population" dataDxfId="23" totalsRowDxfId="22"/>
    <tableColumn id="17" xr3:uid="{4270D2C9-BD61-4210-BC2A-427365DB6D6E}" name="Total  Sikh Population" dataDxfId="21" totalsRowDxfId="20">
      <calculatedColumnFormula>SUM(Marital[[#This Row],[Total  Sikh Male Population]:[Total  Sikh Female Population]])</calculatedColumnFormula>
    </tableColumn>
    <tableColumn id="18" xr3:uid="{08EA6503-2603-4E76-99FD-BAA00D6511F6}" name="Total Buddhist Male Population" dataDxfId="19" totalsRowDxfId="18"/>
    <tableColumn id="19" xr3:uid="{D11625B7-F294-4BBD-B77C-841D174CF534}" name="Total Buddhist Female Population" dataDxfId="17" totalsRowDxfId="16"/>
    <tableColumn id="20" xr3:uid="{30FA1774-6EC3-4AA5-A064-BB14C688626B}" name="Total Buddhist Population" dataDxfId="15" totalsRowDxfId="14">
      <calculatedColumnFormula>SUM(P4:Q4)</calculatedColumnFormula>
    </tableColumn>
    <tableColumn id="21" xr3:uid="{14DC545B-5831-4769-9473-135139BF2045}" name="Tota Jain Male Population" dataDxfId="13" totalsRowDxfId="12"/>
    <tableColumn id="22" xr3:uid="{4A7A9CD1-34CE-4860-93C4-E77A00D8C673}" name="Tota Jain Female Population" dataDxfId="11" totalsRowDxfId="10"/>
    <tableColumn id="23" xr3:uid="{84B7321A-BCC7-4EEA-9F0E-11F61DC056E5}" name="Tota Jain Population" dataDxfId="9" totalsRowDxfId="8">
      <calculatedColumnFormula>SUM(Marital[[#This Row],[Tota Jain Male Population]:[Tota Jain Female Population]])</calculatedColumnFormula>
    </tableColumn>
    <tableColumn id="24" xr3:uid="{D3963161-5EA6-4EF8-8762-915E11D661E0}" name="Other Male Population" dataDxfId="7" totalsRowDxfId="6"/>
    <tableColumn id="25" xr3:uid="{71869BC5-AB8A-4366-9193-0A149873DB75}" name="Other Female Population" dataDxfId="5" totalsRowDxfId="4"/>
    <tableColumn id="26" xr3:uid="{7539B12F-B666-40CA-8A8E-AEE10C049811}" name="Other Population" dataDxfId="3" totalsRowDxfId="2">
      <calculatedColumnFormula>SUM(Marital[[#This Row],[Other Male Population]:[Other Female Population]])</calculatedColumnFormula>
    </tableColumn>
    <tableColumn id="3" xr3:uid="{AF765775-242E-4F56-9FC2-79CAB3BC5082}" name="Total Population" totalsRowFunction="custom" dataDxfId="1" totalsRowDxfId="0">
      <calculatedColumnFormula>SUM(F4,I4,L4,O4,R4,U4,X4)</calculatedColumnFormula>
      <totalsRowFormula>SUM(Y4,Y11)</totalsRow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2.xml"/><Relationship Id="rId5" Type="http://schemas.openxmlformats.org/officeDocument/2006/relationships/table" Target="../tables/table3.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ivotTable" Target="../pivotTables/pivotTable9.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6AB79-56E3-47CB-808E-46B53263D349}">
  <dimension ref="A1:M129"/>
  <sheetViews>
    <sheetView topLeftCell="A106" zoomScale="65" zoomScaleNormal="46" workbookViewId="0">
      <selection activeCell="G115" sqref="G115"/>
    </sheetView>
  </sheetViews>
  <sheetFormatPr defaultRowHeight="14.5" x14ac:dyDescent="0.35"/>
  <cols>
    <col min="1" max="1" width="12.90625" bestFit="1" customWidth="1"/>
    <col min="2" max="2" width="39.08984375" bestFit="1" customWidth="1"/>
    <col min="3" max="3" width="40.90625" bestFit="1" customWidth="1"/>
    <col min="4" max="4" width="20.08984375" customWidth="1"/>
    <col min="5" max="5" width="13.6328125" bestFit="1" customWidth="1"/>
    <col min="6" max="6" width="27.6328125" bestFit="1" customWidth="1"/>
    <col min="7" max="7" width="33.7265625" bestFit="1" customWidth="1"/>
    <col min="8" max="9" width="27.7265625" bestFit="1" customWidth="1"/>
    <col min="12" max="12" width="13.453125" bestFit="1" customWidth="1"/>
    <col min="13" max="13" width="27.36328125" bestFit="1" customWidth="1"/>
  </cols>
  <sheetData>
    <row r="1" spans="1:9" ht="14.5" customHeight="1" x14ac:dyDescent="0.35">
      <c r="A1" s="77" t="s">
        <v>47</v>
      </c>
      <c r="B1" s="78"/>
      <c r="C1" s="78"/>
      <c r="D1" s="78"/>
      <c r="E1" s="78"/>
      <c r="F1" s="78"/>
      <c r="G1" s="78"/>
      <c r="H1" s="78"/>
      <c r="I1" s="79"/>
    </row>
    <row r="2" spans="1:9" x14ac:dyDescent="0.35">
      <c r="A2" s="80"/>
      <c r="B2" s="81"/>
      <c r="C2" s="81"/>
      <c r="D2" s="81"/>
      <c r="E2" s="81"/>
      <c r="F2" s="81"/>
      <c r="G2" s="81"/>
      <c r="H2" s="81"/>
      <c r="I2" s="82"/>
    </row>
    <row r="3" spans="1:9" s="5" customFormat="1" ht="65" x14ac:dyDescent="0.35">
      <c r="A3" s="17" t="s">
        <v>1</v>
      </c>
      <c r="B3" s="18" t="s">
        <v>4</v>
      </c>
      <c r="C3" s="18" t="s">
        <v>13</v>
      </c>
      <c r="D3" s="18" t="s">
        <v>31</v>
      </c>
      <c r="E3" s="18" t="s">
        <v>25</v>
      </c>
      <c r="F3" s="18" t="s">
        <v>26</v>
      </c>
      <c r="G3" s="18" t="s">
        <v>27</v>
      </c>
      <c r="H3" s="18" t="s">
        <v>28</v>
      </c>
      <c r="I3" s="19" t="s">
        <v>30</v>
      </c>
    </row>
    <row r="4" spans="1:9" x14ac:dyDescent="0.35">
      <c r="A4" s="11" t="s">
        <v>0</v>
      </c>
      <c r="B4" s="2" t="s">
        <v>2</v>
      </c>
      <c r="C4" s="2" t="s">
        <v>5</v>
      </c>
      <c r="D4" s="2" t="s">
        <v>14</v>
      </c>
      <c r="E4" s="3">
        <v>126777</v>
      </c>
      <c r="F4" s="3">
        <v>741</v>
      </c>
      <c r="G4" s="3">
        <v>283</v>
      </c>
      <c r="H4" s="3">
        <v>252</v>
      </c>
      <c r="I4" s="12">
        <f>SUM(G4,H4)</f>
        <v>535</v>
      </c>
    </row>
    <row r="5" spans="1:9" x14ac:dyDescent="0.35">
      <c r="A5" s="11" t="s">
        <v>0</v>
      </c>
      <c r="B5" s="2" t="s">
        <v>2</v>
      </c>
      <c r="C5" s="2" t="s">
        <v>5</v>
      </c>
      <c r="D5" s="2" t="s">
        <v>7</v>
      </c>
      <c r="E5" s="3">
        <v>11806</v>
      </c>
      <c r="F5" s="3">
        <v>3956</v>
      </c>
      <c r="G5" s="3">
        <v>1632</v>
      </c>
      <c r="H5" s="3">
        <v>1359</v>
      </c>
      <c r="I5" s="12">
        <f t="shared" ref="I5:I33" si="0">SUM(G5,H5)</f>
        <v>2991</v>
      </c>
    </row>
    <row r="6" spans="1:9" x14ac:dyDescent="0.35">
      <c r="A6" s="11" t="s">
        <v>0</v>
      </c>
      <c r="B6" s="2" t="s">
        <v>2</v>
      </c>
      <c r="C6" s="2" t="s">
        <v>5</v>
      </c>
      <c r="D6" s="2" t="s">
        <v>8</v>
      </c>
      <c r="E6" s="3">
        <v>17218</v>
      </c>
      <c r="F6" s="3">
        <v>14859</v>
      </c>
      <c r="G6" s="3">
        <v>8986</v>
      </c>
      <c r="H6" s="3">
        <v>8379</v>
      </c>
      <c r="I6" s="12">
        <f t="shared" si="0"/>
        <v>17365</v>
      </c>
    </row>
    <row r="7" spans="1:9" x14ac:dyDescent="0.35">
      <c r="A7" s="11" t="s">
        <v>0</v>
      </c>
      <c r="B7" s="2" t="s">
        <v>2</v>
      </c>
      <c r="C7" s="2" t="s">
        <v>5</v>
      </c>
      <c r="D7" s="2" t="s">
        <v>9</v>
      </c>
      <c r="E7" s="3">
        <v>23186</v>
      </c>
      <c r="F7" s="3">
        <v>22572</v>
      </c>
      <c r="G7" s="3">
        <v>25052</v>
      </c>
      <c r="H7" s="3">
        <v>23332</v>
      </c>
      <c r="I7" s="12">
        <f t="shared" si="0"/>
        <v>48384</v>
      </c>
    </row>
    <row r="8" spans="1:9" x14ac:dyDescent="0.35">
      <c r="A8" s="11" t="s">
        <v>0</v>
      </c>
      <c r="B8" s="2" t="s">
        <v>2</v>
      </c>
      <c r="C8" s="2" t="s">
        <v>5</v>
      </c>
      <c r="D8" s="2" t="s">
        <v>10</v>
      </c>
      <c r="E8" s="3">
        <v>27030</v>
      </c>
      <c r="F8" s="3">
        <v>26777</v>
      </c>
      <c r="G8" s="3">
        <v>41414</v>
      </c>
      <c r="H8" s="3">
        <v>38412</v>
      </c>
      <c r="I8" s="12">
        <f t="shared" si="0"/>
        <v>79826</v>
      </c>
    </row>
    <row r="9" spans="1:9" x14ac:dyDescent="0.35">
      <c r="A9" s="11" t="s">
        <v>0</v>
      </c>
      <c r="B9" s="2" t="s">
        <v>2</v>
      </c>
      <c r="C9" s="2" t="s">
        <v>5</v>
      </c>
      <c r="D9" s="2" t="s">
        <v>15</v>
      </c>
      <c r="E9" s="3">
        <v>29481</v>
      </c>
      <c r="F9" s="3">
        <v>29339</v>
      </c>
      <c r="G9" s="3">
        <v>53914</v>
      </c>
      <c r="H9" s="3">
        <v>49090</v>
      </c>
      <c r="I9" s="12">
        <f t="shared" si="0"/>
        <v>103004</v>
      </c>
    </row>
    <row r="10" spans="1:9" x14ac:dyDescent="0.35">
      <c r="A10" s="11" t="s">
        <v>0</v>
      </c>
      <c r="B10" s="2" t="s">
        <v>2</v>
      </c>
      <c r="C10" s="2" t="s">
        <v>5</v>
      </c>
      <c r="D10" s="2" t="s">
        <v>16</v>
      </c>
      <c r="E10" s="3">
        <v>24041</v>
      </c>
      <c r="F10" s="3">
        <v>23925</v>
      </c>
      <c r="G10" s="3">
        <v>48148</v>
      </c>
      <c r="H10" s="3">
        <v>42218</v>
      </c>
      <c r="I10" s="12">
        <f t="shared" si="0"/>
        <v>90366</v>
      </c>
    </row>
    <row r="11" spans="1:9" x14ac:dyDescent="0.35">
      <c r="A11" s="11" t="s">
        <v>0</v>
      </c>
      <c r="B11" s="2" t="s">
        <v>2</v>
      </c>
      <c r="C11" s="2" t="s">
        <v>5</v>
      </c>
      <c r="D11" s="2" t="s">
        <v>17</v>
      </c>
      <c r="E11" s="3">
        <v>20727</v>
      </c>
      <c r="F11" s="3">
        <v>20649</v>
      </c>
      <c r="G11" s="3">
        <v>43581</v>
      </c>
      <c r="H11" s="3">
        <v>36432</v>
      </c>
      <c r="I11" s="12">
        <f t="shared" si="0"/>
        <v>80013</v>
      </c>
    </row>
    <row r="12" spans="1:9" x14ac:dyDescent="0.35">
      <c r="A12" s="11" t="s">
        <v>0</v>
      </c>
      <c r="B12" s="2" t="s">
        <v>2</v>
      </c>
      <c r="C12" s="2" t="s">
        <v>5</v>
      </c>
      <c r="D12" s="2" t="s">
        <v>18</v>
      </c>
      <c r="E12" s="3">
        <v>15527</v>
      </c>
      <c r="F12" s="3">
        <v>15457</v>
      </c>
      <c r="G12" s="3">
        <v>32586</v>
      </c>
      <c r="H12" s="3">
        <v>26549</v>
      </c>
      <c r="I12" s="12">
        <f t="shared" si="0"/>
        <v>59135</v>
      </c>
    </row>
    <row r="13" spans="1:9" x14ac:dyDescent="0.35">
      <c r="A13" s="11" t="s">
        <v>0</v>
      </c>
      <c r="B13" s="2" t="s">
        <v>2</v>
      </c>
      <c r="C13" s="2" t="s">
        <v>5</v>
      </c>
      <c r="D13" s="2" t="s">
        <v>19</v>
      </c>
      <c r="E13" s="3">
        <v>16937</v>
      </c>
      <c r="F13" s="3">
        <v>16872</v>
      </c>
      <c r="G13" s="3">
        <v>35210</v>
      </c>
      <c r="H13" s="3">
        <v>28065</v>
      </c>
      <c r="I13" s="12">
        <f t="shared" si="0"/>
        <v>63275</v>
      </c>
    </row>
    <row r="14" spans="1:9" x14ac:dyDescent="0.35">
      <c r="A14" s="11" t="s">
        <v>0</v>
      </c>
      <c r="B14" s="2" t="s">
        <v>2</v>
      </c>
      <c r="C14" s="2" t="s">
        <v>5</v>
      </c>
      <c r="D14" s="2" t="s">
        <v>20</v>
      </c>
      <c r="E14" s="3">
        <v>20386</v>
      </c>
      <c r="F14" s="3">
        <v>20223</v>
      </c>
      <c r="G14" s="3">
        <v>40237</v>
      </c>
      <c r="H14" s="3">
        <v>32411</v>
      </c>
      <c r="I14" s="12">
        <f t="shared" si="0"/>
        <v>72648</v>
      </c>
    </row>
    <row r="15" spans="1:9" x14ac:dyDescent="0.35">
      <c r="A15" s="11" t="s">
        <v>0</v>
      </c>
      <c r="B15" s="2" t="s">
        <v>2</v>
      </c>
      <c r="C15" s="2" t="s">
        <v>5</v>
      </c>
      <c r="D15" s="2" t="s">
        <v>21</v>
      </c>
      <c r="E15" s="3">
        <v>14028</v>
      </c>
      <c r="F15" s="3">
        <v>13884</v>
      </c>
      <c r="G15" s="3">
        <v>26740</v>
      </c>
      <c r="H15" s="3">
        <v>21210</v>
      </c>
      <c r="I15" s="12">
        <f t="shared" si="0"/>
        <v>47950</v>
      </c>
    </row>
    <row r="16" spans="1:9" x14ac:dyDescent="0.35">
      <c r="A16" s="11" t="s">
        <v>0</v>
      </c>
      <c r="B16" s="2" t="s">
        <v>2</v>
      </c>
      <c r="C16" s="2" t="s">
        <v>5</v>
      </c>
      <c r="D16" s="2" t="s">
        <v>22</v>
      </c>
      <c r="E16" s="3">
        <v>9480</v>
      </c>
      <c r="F16" s="3">
        <v>9384</v>
      </c>
      <c r="G16" s="3">
        <v>17324</v>
      </c>
      <c r="H16" s="3">
        <v>13514</v>
      </c>
      <c r="I16" s="12">
        <f t="shared" si="0"/>
        <v>30838</v>
      </c>
    </row>
    <row r="17" spans="1:12" x14ac:dyDescent="0.35">
      <c r="A17" s="11" t="s">
        <v>0</v>
      </c>
      <c r="B17" s="2" t="s">
        <v>2</v>
      </c>
      <c r="C17" s="2" t="s">
        <v>5</v>
      </c>
      <c r="D17" s="2" t="s">
        <v>23</v>
      </c>
      <c r="E17" s="3">
        <v>4052</v>
      </c>
      <c r="F17" s="3">
        <v>3997</v>
      </c>
      <c r="G17" s="3">
        <v>7387</v>
      </c>
      <c r="H17" s="3">
        <v>5857</v>
      </c>
      <c r="I17" s="12">
        <f t="shared" si="0"/>
        <v>13244</v>
      </c>
    </row>
    <row r="18" spans="1:12" x14ac:dyDescent="0.35">
      <c r="A18" s="11" t="s">
        <v>0</v>
      </c>
      <c r="B18" s="2" t="s">
        <v>2</v>
      </c>
      <c r="C18" s="2" t="s">
        <v>5</v>
      </c>
      <c r="D18" s="2" t="s">
        <v>24</v>
      </c>
      <c r="E18" s="3">
        <v>5962</v>
      </c>
      <c r="F18" s="3">
        <v>5805</v>
      </c>
      <c r="G18" s="3">
        <v>9961</v>
      </c>
      <c r="H18" s="3">
        <v>8062</v>
      </c>
      <c r="I18" s="12">
        <f t="shared" si="0"/>
        <v>18023</v>
      </c>
    </row>
    <row r="19" spans="1:12" x14ac:dyDescent="0.35">
      <c r="A19" s="11" t="s">
        <v>0</v>
      </c>
      <c r="B19" s="2" t="s">
        <v>2</v>
      </c>
      <c r="C19" s="2" t="s">
        <v>6</v>
      </c>
      <c r="D19" s="2" t="s">
        <v>14</v>
      </c>
      <c r="E19" s="3">
        <v>132540</v>
      </c>
      <c r="F19" s="3">
        <v>1954</v>
      </c>
      <c r="G19" s="3">
        <v>227</v>
      </c>
      <c r="H19" s="3">
        <v>207</v>
      </c>
      <c r="I19" s="12">
        <f t="shared" si="0"/>
        <v>434</v>
      </c>
    </row>
    <row r="20" spans="1:12" x14ac:dyDescent="0.35">
      <c r="A20" s="11" t="s">
        <v>0</v>
      </c>
      <c r="B20" s="2" t="s">
        <v>2</v>
      </c>
      <c r="C20" s="2" t="s">
        <v>6</v>
      </c>
      <c r="D20" s="2" t="s">
        <v>7</v>
      </c>
      <c r="E20" s="3">
        <v>75507</v>
      </c>
      <c r="F20" s="3">
        <v>8700</v>
      </c>
      <c r="G20" s="3">
        <v>1421</v>
      </c>
      <c r="H20" s="3">
        <v>1304</v>
      </c>
      <c r="I20" s="12">
        <f t="shared" si="0"/>
        <v>2725</v>
      </c>
    </row>
    <row r="21" spans="1:12" x14ac:dyDescent="0.35">
      <c r="A21" s="11" t="s">
        <v>0</v>
      </c>
      <c r="B21" s="2" t="s">
        <v>2</v>
      </c>
      <c r="C21" s="2" t="s">
        <v>6</v>
      </c>
      <c r="D21" s="2" t="s">
        <v>8</v>
      </c>
      <c r="E21" s="3">
        <v>44509</v>
      </c>
      <c r="F21" s="3">
        <v>27422</v>
      </c>
      <c r="G21" s="3">
        <v>12041</v>
      </c>
      <c r="H21" s="3">
        <v>11387</v>
      </c>
      <c r="I21" s="12">
        <f t="shared" si="0"/>
        <v>23428</v>
      </c>
    </row>
    <row r="22" spans="1:12" x14ac:dyDescent="0.35">
      <c r="A22" s="11" t="s">
        <v>0</v>
      </c>
      <c r="B22" s="2" t="s">
        <v>2</v>
      </c>
      <c r="C22" s="2" t="s">
        <v>6</v>
      </c>
      <c r="D22" s="2" t="s">
        <v>9</v>
      </c>
      <c r="E22" s="3">
        <v>30682</v>
      </c>
      <c r="F22" s="3">
        <v>27800</v>
      </c>
      <c r="G22" s="3">
        <v>24188</v>
      </c>
      <c r="H22" s="3">
        <v>22286</v>
      </c>
      <c r="I22" s="12">
        <f t="shared" si="0"/>
        <v>46474</v>
      </c>
    </row>
    <row r="23" spans="1:12" x14ac:dyDescent="0.35">
      <c r="A23" s="11" t="s">
        <v>0</v>
      </c>
      <c r="B23" s="2" t="s">
        <v>2</v>
      </c>
      <c r="C23" s="2" t="s">
        <v>6</v>
      </c>
      <c r="D23" s="2" t="s">
        <v>10</v>
      </c>
      <c r="E23" s="3">
        <v>22996</v>
      </c>
      <c r="F23" s="3">
        <v>22320</v>
      </c>
      <c r="G23" s="3">
        <v>27680</v>
      </c>
      <c r="H23" s="3">
        <v>24961</v>
      </c>
      <c r="I23" s="12">
        <f t="shared" si="0"/>
        <v>52641</v>
      </c>
    </row>
    <row r="24" spans="1:12" x14ac:dyDescent="0.35">
      <c r="A24" s="11" t="s">
        <v>0</v>
      </c>
      <c r="B24" s="2" t="s">
        <v>2</v>
      </c>
      <c r="C24" s="2" t="s">
        <v>6</v>
      </c>
      <c r="D24" s="2" t="s">
        <v>15</v>
      </c>
      <c r="E24" s="3">
        <v>18263</v>
      </c>
      <c r="F24" s="3">
        <v>17984</v>
      </c>
      <c r="G24" s="3">
        <v>26494</v>
      </c>
      <c r="H24" s="3">
        <v>23743</v>
      </c>
      <c r="I24" s="12">
        <f t="shared" si="0"/>
        <v>50237</v>
      </c>
    </row>
    <row r="25" spans="1:12" x14ac:dyDescent="0.35">
      <c r="A25" s="11" t="s">
        <v>0</v>
      </c>
      <c r="B25" s="2" t="s">
        <v>2</v>
      </c>
      <c r="C25" s="2" t="s">
        <v>6</v>
      </c>
      <c r="D25" s="2" t="s">
        <v>16</v>
      </c>
      <c r="E25" s="3">
        <v>11720</v>
      </c>
      <c r="F25" s="3">
        <v>11569</v>
      </c>
      <c r="G25" s="3">
        <v>19046</v>
      </c>
      <c r="H25" s="3">
        <v>16376</v>
      </c>
      <c r="I25" s="12">
        <f t="shared" si="0"/>
        <v>35422</v>
      </c>
    </row>
    <row r="26" spans="1:12" x14ac:dyDescent="0.35">
      <c r="A26" s="11" t="s">
        <v>0</v>
      </c>
      <c r="B26" s="2" t="s">
        <v>2</v>
      </c>
      <c r="C26" s="2" t="s">
        <v>6</v>
      </c>
      <c r="D26" s="2" t="s">
        <v>17</v>
      </c>
      <c r="E26" s="3">
        <v>8039</v>
      </c>
      <c r="F26" s="3">
        <v>7928</v>
      </c>
      <c r="G26" s="3">
        <v>13792</v>
      </c>
      <c r="H26" s="3">
        <v>11675</v>
      </c>
      <c r="I26" s="12">
        <f t="shared" si="0"/>
        <v>25467</v>
      </c>
    </row>
    <row r="27" spans="1:12" x14ac:dyDescent="0.35">
      <c r="A27" s="11" t="s">
        <v>0</v>
      </c>
      <c r="B27" s="2" t="s">
        <v>2</v>
      </c>
      <c r="C27" s="2" t="s">
        <v>6</v>
      </c>
      <c r="D27" s="2" t="s">
        <v>18</v>
      </c>
      <c r="E27" s="3">
        <v>5241</v>
      </c>
      <c r="F27" s="3">
        <v>5160</v>
      </c>
      <c r="G27" s="3">
        <v>9262</v>
      </c>
      <c r="H27" s="3">
        <v>7548</v>
      </c>
      <c r="I27" s="12">
        <f t="shared" si="0"/>
        <v>16810</v>
      </c>
    </row>
    <row r="28" spans="1:12" x14ac:dyDescent="0.35">
      <c r="A28" s="11" t="s">
        <v>0</v>
      </c>
      <c r="B28" s="2" t="s">
        <v>2</v>
      </c>
      <c r="C28" s="2" t="s">
        <v>6</v>
      </c>
      <c r="D28" s="2" t="s">
        <v>19</v>
      </c>
      <c r="E28" s="3">
        <v>4010</v>
      </c>
      <c r="F28" s="3">
        <v>3938</v>
      </c>
      <c r="G28" s="3">
        <v>7377</v>
      </c>
      <c r="H28" s="3">
        <v>5770</v>
      </c>
      <c r="I28" s="12">
        <f t="shared" si="0"/>
        <v>13147</v>
      </c>
    </row>
    <row r="29" spans="1:12" x14ac:dyDescent="0.35">
      <c r="A29" s="11" t="s">
        <v>0</v>
      </c>
      <c r="B29" s="2" t="s">
        <v>2</v>
      </c>
      <c r="C29" s="2" t="s">
        <v>6</v>
      </c>
      <c r="D29" s="2" t="s">
        <v>20</v>
      </c>
      <c r="E29" s="3">
        <v>3715</v>
      </c>
      <c r="F29" s="3">
        <v>3218</v>
      </c>
      <c r="G29" s="3">
        <v>5968</v>
      </c>
      <c r="H29" s="3">
        <v>4652</v>
      </c>
      <c r="I29" s="12">
        <f t="shared" si="0"/>
        <v>10620</v>
      </c>
    </row>
    <row r="30" spans="1:12" x14ac:dyDescent="0.35">
      <c r="A30" s="11" t="s">
        <v>0</v>
      </c>
      <c r="B30" s="2" t="s">
        <v>2</v>
      </c>
      <c r="C30" s="2" t="s">
        <v>6</v>
      </c>
      <c r="D30" s="2" t="s">
        <v>21</v>
      </c>
      <c r="E30" s="3">
        <v>2470</v>
      </c>
      <c r="F30" s="3">
        <v>1813</v>
      </c>
      <c r="G30" s="3">
        <v>3254</v>
      </c>
      <c r="H30" s="3">
        <v>2461</v>
      </c>
      <c r="I30" s="12">
        <f t="shared" si="0"/>
        <v>5715</v>
      </c>
      <c r="K30" s="1"/>
      <c r="L30" s="4"/>
    </row>
    <row r="31" spans="1:12" x14ac:dyDescent="0.35">
      <c r="A31" s="11" t="s">
        <v>0</v>
      </c>
      <c r="B31" s="2" t="s">
        <v>2</v>
      </c>
      <c r="C31" s="2" t="s">
        <v>6</v>
      </c>
      <c r="D31" s="2" t="s">
        <v>22</v>
      </c>
      <c r="E31" s="3">
        <v>1358</v>
      </c>
      <c r="F31" s="3">
        <v>1151</v>
      </c>
      <c r="G31" s="3">
        <v>1899</v>
      </c>
      <c r="H31" s="3">
        <v>1427</v>
      </c>
      <c r="I31" s="12">
        <f t="shared" si="0"/>
        <v>3326</v>
      </c>
      <c r="K31" s="1"/>
      <c r="L31" s="4"/>
    </row>
    <row r="32" spans="1:12" x14ac:dyDescent="0.35">
      <c r="A32" s="11" t="s">
        <v>0</v>
      </c>
      <c r="B32" s="2" t="s">
        <v>2</v>
      </c>
      <c r="C32" s="2" t="s">
        <v>6</v>
      </c>
      <c r="D32" s="2" t="s">
        <v>23</v>
      </c>
      <c r="E32" s="3">
        <v>563</v>
      </c>
      <c r="F32" s="3">
        <v>474</v>
      </c>
      <c r="G32" s="3">
        <v>788</v>
      </c>
      <c r="H32" s="3">
        <v>635</v>
      </c>
      <c r="I32" s="12">
        <f t="shared" si="0"/>
        <v>1423</v>
      </c>
    </row>
    <row r="33" spans="1:9" x14ac:dyDescent="0.35">
      <c r="A33" s="11" t="s">
        <v>0</v>
      </c>
      <c r="B33" s="2" t="s">
        <v>2</v>
      </c>
      <c r="C33" s="2" t="s">
        <v>6</v>
      </c>
      <c r="D33" s="2" t="s">
        <v>24</v>
      </c>
      <c r="E33" s="3">
        <v>1417</v>
      </c>
      <c r="F33" s="3">
        <v>1030</v>
      </c>
      <c r="G33" s="3">
        <v>1270</v>
      </c>
      <c r="H33" s="3">
        <v>1008</v>
      </c>
      <c r="I33" s="12">
        <f t="shared" si="0"/>
        <v>2278</v>
      </c>
    </row>
    <row r="34" spans="1:9" x14ac:dyDescent="0.35">
      <c r="A34" s="11" t="s">
        <v>0</v>
      </c>
      <c r="B34" s="2" t="s">
        <v>3</v>
      </c>
      <c r="C34" s="2" t="s">
        <v>5</v>
      </c>
      <c r="D34" s="2" t="s">
        <v>14</v>
      </c>
      <c r="E34" s="3">
        <v>185874</v>
      </c>
      <c r="F34" s="3">
        <v>1189</v>
      </c>
      <c r="G34" s="3">
        <v>214</v>
      </c>
      <c r="H34" s="3">
        <v>215</v>
      </c>
      <c r="I34" s="12">
        <f t="shared" ref="I34:I57" si="1">SUM(G34,H34)</f>
        <v>429</v>
      </c>
    </row>
    <row r="35" spans="1:9" x14ac:dyDescent="0.35">
      <c r="A35" s="11" t="s">
        <v>0</v>
      </c>
      <c r="B35" s="2" t="s">
        <v>3</v>
      </c>
      <c r="C35" s="2" t="s">
        <v>5</v>
      </c>
      <c r="D35" s="2" t="s">
        <v>7</v>
      </c>
      <c r="E35" s="3">
        <v>18061</v>
      </c>
      <c r="F35" s="3">
        <v>4365</v>
      </c>
      <c r="G35" s="3">
        <v>1380</v>
      </c>
      <c r="H35" s="3">
        <v>1142</v>
      </c>
      <c r="I35" s="12">
        <f t="shared" si="1"/>
        <v>2522</v>
      </c>
    </row>
    <row r="36" spans="1:9" x14ac:dyDescent="0.35">
      <c r="A36" s="11" t="s">
        <v>0</v>
      </c>
      <c r="B36" s="2" t="s">
        <v>3</v>
      </c>
      <c r="C36" s="2" t="s">
        <v>5</v>
      </c>
      <c r="D36" s="2" t="s">
        <v>8</v>
      </c>
      <c r="E36" s="3">
        <v>20471</v>
      </c>
      <c r="F36" s="3">
        <v>14561</v>
      </c>
      <c r="G36" s="3">
        <v>8122</v>
      </c>
      <c r="H36" s="3">
        <v>7449</v>
      </c>
      <c r="I36" s="12">
        <f t="shared" si="1"/>
        <v>15571</v>
      </c>
    </row>
    <row r="37" spans="1:9" x14ac:dyDescent="0.35">
      <c r="A37" s="11" t="s">
        <v>0</v>
      </c>
      <c r="B37" s="2" t="s">
        <v>3</v>
      </c>
      <c r="C37" s="2" t="s">
        <v>5</v>
      </c>
      <c r="D37" s="2" t="s">
        <v>9</v>
      </c>
      <c r="E37" s="3">
        <v>24510</v>
      </c>
      <c r="F37" s="3">
        <v>22193</v>
      </c>
      <c r="G37" s="3">
        <v>21832</v>
      </c>
      <c r="H37" s="3">
        <v>20137</v>
      </c>
      <c r="I37" s="12">
        <f t="shared" si="1"/>
        <v>41969</v>
      </c>
    </row>
    <row r="38" spans="1:9" x14ac:dyDescent="0.35">
      <c r="A38" s="11" t="s">
        <v>0</v>
      </c>
      <c r="B38" s="2" t="s">
        <v>3</v>
      </c>
      <c r="C38" s="2" t="s">
        <v>5</v>
      </c>
      <c r="D38" s="2" t="s">
        <v>10</v>
      </c>
      <c r="E38" s="3">
        <v>25220</v>
      </c>
      <c r="F38" s="3">
        <v>24226</v>
      </c>
      <c r="G38" s="3">
        <v>32979</v>
      </c>
      <c r="H38" s="3">
        <v>29729</v>
      </c>
      <c r="I38" s="12">
        <f t="shared" si="1"/>
        <v>62708</v>
      </c>
    </row>
    <row r="39" spans="1:9" x14ac:dyDescent="0.35">
      <c r="A39" s="11" t="s">
        <v>0</v>
      </c>
      <c r="B39" s="2" t="s">
        <v>3</v>
      </c>
      <c r="C39" s="2" t="s">
        <v>5</v>
      </c>
      <c r="D39" s="2" t="s">
        <v>15</v>
      </c>
      <c r="E39" s="3">
        <v>29340</v>
      </c>
      <c r="F39" s="3">
        <v>28764</v>
      </c>
      <c r="G39" s="3">
        <v>46033</v>
      </c>
      <c r="H39" s="3">
        <v>39904</v>
      </c>
      <c r="I39" s="12">
        <f t="shared" si="1"/>
        <v>85937</v>
      </c>
    </row>
    <row r="40" spans="1:9" x14ac:dyDescent="0.35">
      <c r="A40" s="11" t="s">
        <v>0</v>
      </c>
      <c r="B40" s="2" t="s">
        <v>3</v>
      </c>
      <c r="C40" s="2" t="s">
        <v>5</v>
      </c>
      <c r="D40" s="2" t="s">
        <v>16</v>
      </c>
      <c r="E40" s="3">
        <v>26143</v>
      </c>
      <c r="F40" s="3">
        <v>25810</v>
      </c>
      <c r="G40" s="3">
        <v>45162</v>
      </c>
      <c r="H40" s="3">
        <v>37326</v>
      </c>
      <c r="I40" s="12">
        <f t="shared" si="1"/>
        <v>82488</v>
      </c>
    </row>
    <row r="41" spans="1:9" x14ac:dyDescent="0.35">
      <c r="A41" s="11" t="s">
        <v>0</v>
      </c>
      <c r="B41" s="2" t="s">
        <v>3</v>
      </c>
      <c r="C41" s="2" t="s">
        <v>5</v>
      </c>
      <c r="D41" s="2" t="s">
        <v>17</v>
      </c>
      <c r="E41" s="3">
        <v>24811</v>
      </c>
      <c r="F41" s="3">
        <v>24587</v>
      </c>
      <c r="G41" s="3">
        <v>45189</v>
      </c>
      <c r="H41" s="3">
        <v>35555</v>
      </c>
      <c r="I41" s="12">
        <f t="shared" si="1"/>
        <v>80744</v>
      </c>
    </row>
    <row r="42" spans="1:9" x14ac:dyDescent="0.35">
      <c r="A42" s="11" t="s">
        <v>0</v>
      </c>
      <c r="B42" s="2" t="s">
        <v>3</v>
      </c>
      <c r="C42" s="2" t="s">
        <v>5</v>
      </c>
      <c r="D42" s="2" t="s">
        <v>18</v>
      </c>
      <c r="E42" s="3">
        <v>19049</v>
      </c>
      <c r="F42" s="3">
        <v>18871</v>
      </c>
      <c r="G42" s="3">
        <v>35896</v>
      </c>
      <c r="H42" s="3">
        <v>26669</v>
      </c>
      <c r="I42" s="12">
        <f t="shared" si="1"/>
        <v>62565</v>
      </c>
    </row>
    <row r="43" spans="1:9" x14ac:dyDescent="0.35">
      <c r="A43" s="11" t="s">
        <v>0</v>
      </c>
      <c r="B43" s="2" t="s">
        <v>3</v>
      </c>
      <c r="C43" s="2" t="s">
        <v>5</v>
      </c>
      <c r="D43" s="2" t="s">
        <v>19</v>
      </c>
      <c r="E43" s="3">
        <v>16466</v>
      </c>
      <c r="F43" s="3">
        <v>16325</v>
      </c>
      <c r="G43" s="3">
        <v>31577</v>
      </c>
      <c r="H43" s="3">
        <v>22553</v>
      </c>
      <c r="I43" s="12">
        <f t="shared" si="1"/>
        <v>54130</v>
      </c>
    </row>
    <row r="44" spans="1:9" x14ac:dyDescent="0.35">
      <c r="A44" s="11" t="s">
        <v>0</v>
      </c>
      <c r="B44" s="2" t="s">
        <v>3</v>
      </c>
      <c r="C44" s="2" t="s">
        <v>5</v>
      </c>
      <c r="D44" s="2" t="s">
        <v>20</v>
      </c>
      <c r="E44" s="3">
        <v>15969</v>
      </c>
      <c r="F44" s="3">
        <v>15744</v>
      </c>
      <c r="G44" s="3">
        <v>29064</v>
      </c>
      <c r="H44" s="3">
        <v>20971</v>
      </c>
      <c r="I44" s="12">
        <f t="shared" si="1"/>
        <v>50035</v>
      </c>
    </row>
    <row r="45" spans="1:9" x14ac:dyDescent="0.35">
      <c r="A45" s="11" t="s">
        <v>0</v>
      </c>
      <c r="B45" s="2" t="s">
        <v>3</v>
      </c>
      <c r="C45" s="2" t="s">
        <v>5</v>
      </c>
      <c r="D45" s="2" t="s">
        <v>21</v>
      </c>
      <c r="E45" s="3">
        <v>10817</v>
      </c>
      <c r="F45" s="3">
        <v>10540</v>
      </c>
      <c r="G45" s="3">
        <v>19221</v>
      </c>
      <c r="H45" s="3">
        <v>13938</v>
      </c>
      <c r="I45" s="12">
        <f t="shared" si="1"/>
        <v>33159</v>
      </c>
    </row>
    <row r="46" spans="1:9" x14ac:dyDescent="0.35">
      <c r="A46" s="11" t="s">
        <v>0</v>
      </c>
      <c r="B46" s="2" t="s">
        <v>3</v>
      </c>
      <c r="C46" s="2" t="s">
        <v>5</v>
      </c>
      <c r="D46" s="2" t="s">
        <v>22</v>
      </c>
      <c r="E46" s="3">
        <v>8181</v>
      </c>
      <c r="F46" s="3">
        <v>8026</v>
      </c>
      <c r="G46" s="3">
        <v>13832</v>
      </c>
      <c r="H46" s="3">
        <v>10303</v>
      </c>
      <c r="I46" s="12">
        <f t="shared" si="1"/>
        <v>24135</v>
      </c>
    </row>
    <row r="47" spans="1:9" x14ac:dyDescent="0.35">
      <c r="A47" s="11" t="s">
        <v>0</v>
      </c>
      <c r="B47" s="2" t="s">
        <v>3</v>
      </c>
      <c r="C47" s="2" t="s">
        <v>5</v>
      </c>
      <c r="D47" s="2" t="s">
        <v>23</v>
      </c>
      <c r="E47" s="3">
        <v>3980</v>
      </c>
      <c r="F47" s="3">
        <v>3914</v>
      </c>
      <c r="G47" s="3">
        <v>6618</v>
      </c>
      <c r="H47" s="3">
        <v>5026</v>
      </c>
      <c r="I47" s="12">
        <f t="shared" si="1"/>
        <v>11644</v>
      </c>
    </row>
    <row r="48" spans="1:9" x14ac:dyDescent="0.35">
      <c r="A48" s="11" t="s">
        <v>0</v>
      </c>
      <c r="B48" s="2" t="s">
        <v>3</v>
      </c>
      <c r="C48" s="2" t="s">
        <v>5</v>
      </c>
      <c r="D48" s="2" t="s">
        <v>24</v>
      </c>
      <c r="E48" s="3">
        <v>5938</v>
      </c>
      <c r="F48" s="3">
        <v>5625</v>
      </c>
      <c r="G48" s="3">
        <v>8592</v>
      </c>
      <c r="H48" s="3">
        <v>6686</v>
      </c>
      <c r="I48" s="12">
        <f t="shared" si="1"/>
        <v>15278</v>
      </c>
    </row>
    <row r="49" spans="1:9" x14ac:dyDescent="0.35">
      <c r="A49" s="11" t="s">
        <v>0</v>
      </c>
      <c r="B49" s="2" t="s">
        <v>3</v>
      </c>
      <c r="C49" s="2" t="s">
        <v>6</v>
      </c>
      <c r="D49" s="2" t="s">
        <v>14</v>
      </c>
      <c r="E49" s="3">
        <v>181749</v>
      </c>
      <c r="F49" s="3">
        <v>3781</v>
      </c>
      <c r="G49" s="3">
        <v>590</v>
      </c>
      <c r="H49" s="3">
        <v>561</v>
      </c>
      <c r="I49" s="12">
        <f t="shared" si="1"/>
        <v>1151</v>
      </c>
    </row>
    <row r="50" spans="1:9" x14ac:dyDescent="0.35">
      <c r="A50" s="11" t="s">
        <v>0</v>
      </c>
      <c r="B50" s="2" t="s">
        <v>3</v>
      </c>
      <c r="C50" s="2" t="s">
        <v>6</v>
      </c>
      <c r="D50" s="2" t="s">
        <v>7</v>
      </c>
      <c r="E50" s="3">
        <v>135567</v>
      </c>
      <c r="F50" s="3">
        <v>13115</v>
      </c>
      <c r="G50" s="3">
        <v>2428</v>
      </c>
      <c r="H50" s="3">
        <v>2180</v>
      </c>
      <c r="I50" s="12">
        <f t="shared" si="1"/>
        <v>4608</v>
      </c>
    </row>
    <row r="51" spans="1:9" x14ac:dyDescent="0.35">
      <c r="A51" s="11" t="s">
        <v>0</v>
      </c>
      <c r="B51" s="2" t="s">
        <v>3</v>
      </c>
      <c r="C51" s="2" t="s">
        <v>6</v>
      </c>
      <c r="D51" s="2" t="s">
        <v>8</v>
      </c>
      <c r="E51" s="3">
        <v>130694</v>
      </c>
      <c r="F51" s="3">
        <v>54342</v>
      </c>
      <c r="G51" s="3">
        <v>20554</v>
      </c>
      <c r="H51" s="3">
        <v>18185</v>
      </c>
      <c r="I51" s="12">
        <f t="shared" si="1"/>
        <v>38739</v>
      </c>
    </row>
    <row r="52" spans="1:9" x14ac:dyDescent="0.35">
      <c r="A52" s="11" t="s">
        <v>0</v>
      </c>
      <c r="B52" s="2" t="s">
        <v>3</v>
      </c>
      <c r="C52" s="2" t="s">
        <v>6</v>
      </c>
      <c r="D52" s="2" t="s">
        <v>9</v>
      </c>
      <c r="E52" s="3">
        <v>112818</v>
      </c>
      <c r="F52" s="3">
        <v>85404</v>
      </c>
      <c r="G52" s="3">
        <v>55071</v>
      </c>
      <c r="H52" s="3">
        <v>48981</v>
      </c>
      <c r="I52" s="12">
        <f t="shared" si="1"/>
        <v>104052</v>
      </c>
    </row>
    <row r="53" spans="1:9" x14ac:dyDescent="0.35">
      <c r="A53" s="11" t="s">
        <v>0</v>
      </c>
      <c r="B53" s="2" t="s">
        <v>3</v>
      </c>
      <c r="C53" s="2" t="s">
        <v>6</v>
      </c>
      <c r="D53" s="2" t="s">
        <v>10</v>
      </c>
      <c r="E53" s="3">
        <v>88939</v>
      </c>
      <c r="F53" s="3">
        <v>81417</v>
      </c>
      <c r="G53" s="3">
        <v>74248</v>
      </c>
      <c r="H53" s="3">
        <v>65249</v>
      </c>
      <c r="I53" s="12">
        <f t="shared" si="1"/>
        <v>139497</v>
      </c>
    </row>
    <row r="54" spans="1:9" x14ac:dyDescent="0.35">
      <c r="A54" s="11" t="s">
        <v>0</v>
      </c>
      <c r="B54" s="2" t="s">
        <v>3</v>
      </c>
      <c r="C54" s="2" t="s">
        <v>6</v>
      </c>
      <c r="D54" s="2" t="s">
        <v>15</v>
      </c>
      <c r="E54" s="3">
        <v>82507</v>
      </c>
      <c r="F54" s="3">
        <v>79448</v>
      </c>
      <c r="G54" s="3">
        <v>88478</v>
      </c>
      <c r="H54" s="3">
        <v>76809</v>
      </c>
      <c r="I54" s="12">
        <f t="shared" si="1"/>
        <v>165287</v>
      </c>
    </row>
    <row r="55" spans="1:9" x14ac:dyDescent="0.35">
      <c r="A55" s="11" t="s">
        <v>0</v>
      </c>
      <c r="B55" s="2" t="s">
        <v>3</v>
      </c>
      <c r="C55" s="2" t="s">
        <v>6</v>
      </c>
      <c r="D55" s="2" t="s">
        <v>16</v>
      </c>
      <c r="E55" s="3">
        <v>66240</v>
      </c>
      <c r="F55" s="3">
        <v>64604</v>
      </c>
      <c r="G55" s="3">
        <v>79761</v>
      </c>
      <c r="H55" s="3">
        <v>67125</v>
      </c>
      <c r="I55" s="12">
        <f t="shared" si="1"/>
        <v>146886</v>
      </c>
    </row>
    <row r="56" spans="1:9" x14ac:dyDescent="0.35">
      <c r="A56" s="11" t="s">
        <v>0</v>
      </c>
      <c r="B56" s="2" t="s">
        <v>3</v>
      </c>
      <c r="C56" s="2" t="s">
        <v>6</v>
      </c>
      <c r="D56" s="2" t="s">
        <v>17</v>
      </c>
      <c r="E56" s="3">
        <v>58561</v>
      </c>
      <c r="F56" s="3">
        <v>57476</v>
      </c>
      <c r="G56" s="3">
        <v>75969</v>
      </c>
      <c r="H56" s="3">
        <v>62626</v>
      </c>
      <c r="I56" s="12">
        <f t="shared" si="1"/>
        <v>138595</v>
      </c>
    </row>
    <row r="57" spans="1:9" x14ac:dyDescent="0.35">
      <c r="A57" s="11" t="s">
        <v>0</v>
      </c>
      <c r="B57" s="2" t="s">
        <v>3</v>
      </c>
      <c r="C57" s="2" t="s">
        <v>6</v>
      </c>
      <c r="D57" s="2" t="s">
        <v>18</v>
      </c>
      <c r="E57" s="3">
        <v>44494</v>
      </c>
      <c r="F57" s="3">
        <v>43627</v>
      </c>
      <c r="G57" s="3">
        <v>59870</v>
      </c>
      <c r="H57" s="3">
        <v>46601</v>
      </c>
      <c r="I57" s="12">
        <f t="shared" si="1"/>
        <v>106471</v>
      </c>
    </row>
    <row r="58" spans="1:9" x14ac:dyDescent="0.35">
      <c r="A58" s="11" t="s">
        <v>0</v>
      </c>
      <c r="B58" s="2" t="s">
        <v>3</v>
      </c>
      <c r="C58" s="2" t="s">
        <v>6</v>
      </c>
      <c r="D58" s="2" t="s">
        <v>19</v>
      </c>
      <c r="E58" s="3">
        <v>33144</v>
      </c>
      <c r="F58" s="3">
        <v>32449</v>
      </c>
      <c r="G58" s="3">
        <v>46442</v>
      </c>
      <c r="H58" s="3">
        <v>34877</v>
      </c>
      <c r="I58" s="12">
        <f t="shared" ref="I58:I63" si="2">SUM(G58,H58)</f>
        <v>81319</v>
      </c>
    </row>
    <row r="59" spans="1:9" x14ac:dyDescent="0.35">
      <c r="A59" s="11" t="s">
        <v>0</v>
      </c>
      <c r="B59" s="2" t="s">
        <v>3</v>
      </c>
      <c r="C59" s="2" t="s">
        <v>6</v>
      </c>
      <c r="D59" s="2" t="s">
        <v>20</v>
      </c>
      <c r="E59" s="3">
        <v>25238</v>
      </c>
      <c r="F59" s="3">
        <v>24040</v>
      </c>
      <c r="G59" s="3">
        <v>35115</v>
      </c>
      <c r="H59" s="3">
        <v>26585</v>
      </c>
      <c r="I59" s="12">
        <f t="shared" si="2"/>
        <v>61700</v>
      </c>
    </row>
    <row r="60" spans="1:9" x14ac:dyDescent="0.35">
      <c r="A60" s="11" t="s">
        <v>0</v>
      </c>
      <c r="B60" s="2" t="s">
        <v>3</v>
      </c>
      <c r="C60" s="2" t="s">
        <v>6</v>
      </c>
      <c r="D60" s="2" t="s">
        <v>21</v>
      </c>
      <c r="E60" s="3">
        <v>16369</v>
      </c>
      <c r="F60" s="3">
        <v>14707</v>
      </c>
      <c r="G60" s="3">
        <v>21704</v>
      </c>
      <c r="H60" s="3">
        <v>16883</v>
      </c>
      <c r="I60" s="12">
        <f t="shared" si="2"/>
        <v>38587</v>
      </c>
    </row>
    <row r="61" spans="1:9" x14ac:dyDescent="0.35">
      <c r="A61" s="11" t="s">
        <v>0</v>
      </c>
      <c r="B61" s="2" t="s">
        <v>3</v>
      </c>
      <c r="C61" s="2" t="s">
        <v>6</v>
      </c>
      <c r="D61" s="2" t="s">
        <v>22</v>
      </c>
      <c r="E61" s="3">
        <v>10283</v>
      </c>
      <c r="F61" s="3">
        <v>9592</v>
      </c>
      <c r="G61" s="3">
        <v>14090</v>
      </c>
      <c r="H61" s="3">
        <v>10831</v>
      </c>
      <c r="I61" s="12">
        <f t="shared" si="2"/>
        <v>24921</v>
      </c>
    </row>
    <row r="62" spans="1:9" x14ac:dyDescent="0.35">
      <c r="A62" s="11" t="s">
        <v>0</v>
      </c>
      <c r="B62" s="2" t="s">
        <v>3</v>
      </c>
      <c r="C62" s="2" t="s">
        <v>6</v>
      </c>
      <c r="D62" s="2" t="s">
        <v>23</v>
      </c>
      <c r="E62" s="3">
        <v>5349</v>
      </c>
      <c r="F62" s="3">
        <v>5068</v>
      </c>
      <c r="G62" s="3">
        <v>7581</v>
      </c>
      <c r="H62" s="3">
        <v>6081</v>
      </c>
      <c r="I62" s="12">
        <f t="shared" si="2"/>
        <v>13662</v>
      </c>
    </row>
    <row r="63" spans="1:9" x14ac:dyDescent="0.35">
      <c r="A63" s="13" t="s">
        <v>0</v>
      </c>
      <c r="B63" s="14" t="s">
        <v>3</v>
      </c>
      <c r="C63" s="14" t="s">
        <v>6</v>
      </c>
      <c r="D63" s="14" t="s">
        <v>24</v>
      </c>
      <c r="E63" s="15">
        <v>7821</v>
      </c>
      <c r="F63" s="15">
        <v>6574</v>
      </c>
      <c r="G63" s="15">
        <v>8139</v>
      </c>
      <c r="H63" s="15">
        <v>6421</v>
      </c>
      <c r="I63" s="16">
        <f t="shared" si="2"/>
        <v>14560</v>
      </c>
    </row>
    <row r="65" spans="1:13" x14ac:dyDescent="0.35">
      <c r="E65" s="35" t="s">
        <v>25</v>
      </c>
      <c r="F65" s="35" t="s">
        <v>72</v>
      </c>
      <c r="G65" s="35" t="s">
        <v>74</v>
      </c>
      <c r="H65" s="35" t="s">
        <v>75</v>
      </c>
      <c r="I65" s="35" t="s">
        <v>73</v>
      </c>
      <c r="L65" s="37" t="s">
        <v>85</v>
      </c>
      <c r="M65" t="s">
        <v>87</v>
      </c>
    </row>
    <row r="66" spans="1:13" x14ac:dyDescent="0.35">
      <c r="E66" s="34">
        <f>SUM(Surviving[Total Women])</f>
        <v>2164271</v>
      </c>
      <c r="F66" s="34">
        <f>SUM(Surviving[Total ever married women])</f>
        <v>1171285</v>
      </c>
      <c r="G66" s="34">
        <f>SUM(Surviving[Total no. of surviving children (Male)])</f>
        <v>1482913</v>
      </c>
      <c r="H66" s="34">
        <f>SUM(Surviving[Total no. of surviving children (Female)])</f>
        <v>1238180</v>
      </c>
      <c r="I66" s="34">
        <f>SUM(Surviving[Total Surviving Children])</f>
        <v>2721093</v>
      </c>
      <c r="L66" s="38" t="s">
        <v>7</v>
      </c>
      <c r="M66" s="33">
        <v>12846</v>
      </c>
    </row>
    <row r="67" spans="1:13" x14ac:dyDescent="0.35">
      <c r="L67" s="38" t="s">
        <v>8</v>
      </c>
      <c r="M67" s="33">
        <v>95103</v>
      </c>
    </row>
    <row r="68" spans="1:13" x14ac:dyDescent="0.35">
      <c r="L68" s="38" t="s">
        <v>9</v>
      </c>
      <c r="M68" s="33">
        <v>240879</v>
      </c>
    </row>
    <row r="69" spans="1:13" x14ac:dyDescent="0.35">
      <c r="A69" s="76" t="s">
        <v>77</v>
      </c>
      <c r="B69" s="76"/>
      <c r="C69" s="76"/>
      <c r="D69" s="36">
        <f>I66/E66</f>
        <v>1.2572792409083706</v>
      </c>
      <c r="F69" s="37" t="s">
        <v>85</v>
      </c>
      <c r="G69" t="s">
        <v>88</v>
      </c>
      <c r="H69" t="s">
        <v>87</v>
      </c>
      <c r="L69" s="38" t="s">
        <v>10</v>
      </c>
      <c r="M69" s="33">
        <v>334672</v>
      </c>
    </row>
    <row r="70" spans="1:13" x14ac:dyDescent="0.35">
      <c r="A70" s="76" t="s">
        <v>76</v>
      </c>
      <c r="B70" s="76"/>
      <c r="C70" s="76"/>
      <c r="D70" s="36">
        <f>I66/F66</f>
        <v>2.3231689981516026</v>
      </c>
      <c r="F70" s="38" t="s">
        <v>5</v>
      </c>
      <c r="G70" s="33">
        <v>453180</v>
      </c>
      <c r="H70" s="33">
        <v>1350911</v>
      </c>
      <c r="L70" s="38" t="s">
        <v>15</v>
      </c>
      <c r="M70" s="33">
        <v>404465</v>
      </c>
    </row>
    <row r="71" spans="1:13" x14ac:dyDescent="0.35">
      <c r="A71" s="76" t="s">
        <v>78</v>
      </c>
      <c r="B71" s="76"/>
      <c r="C71" s="76"/>
      <c r="D71" s="36">
        <f>G66/I66</f>
        <v>0.54496961331347371</v>
      </c>
      <c r="F71" s="38" t="s">
        <v>6</v>
      </c>
      <c r="G71" s="33">
        <v>718105</v>
      </c>
      <c r="H71" s="33">
        <v>1370182</v>
      </c>
      <c r="L71" s="38" t="s">
        <v>16</v>
      </c>
      <c r="M71" s="33">
        <v>355162</v>
      </c>
    </row>
    <row r="72" spans="1:13" x14ac:dyDescent="0.35">
      <c r="A72" s="76" t="s">
        <v>79</v>
      </c>
      <c r="B72" s="76"/>
      <c r="C72" s="76"/>
      <c r="D72" s="36">
        <f>H66/I66</f>
        <v>0.45503038668652634</v>
      </c>
      <c r="F72" s="38" t="s">
        <v>86</v>
      </c>
      <c r="G72" s="33">
        <v>1171285</v>
      </c>
      <c r="H72" s="33">
        <v>2721093</v>
      </c>
      <c r="L72" s="38" t="s">
        <v>17</v>
      </c>
      <c r="M72" s="33">
        <v>324819</v>
      </c>
    </row>
    <row r="73" spans="1:13" x14ac:dyDescent="0.35">
      <c r="A73" s="76" t="s">
        <v>80</v>
      </c>
      <c r="B73" s="76"/>
      <c r="C73" s="76"/>
      <c r="D73" s="36">
        <f>SUMIFS(Surviving[Total Surviving Children],Surviving[Urban/ Rural],"Urban",Surviving[Area Name
],"Lucknow")</f>
        <v>1703349</v>
      </c>
      <c r="L73" s="38" t="s">
        <v>18</v>
      </c>
      <c r="M73" s="33">
        <v>244981</v>
      </c>
    </row>
    <row r="74" spans="1:13" x14ac:dyDescent="0.35">
      <c r="A74" s="76" t="s">
        <v>81</v>
      </c>
      <c r="B74" s="76"/>
      <c r="C74" s="76"/>
      <c r="D74" s="36">
        <f>SUMIFS(Surviving[Total Surviving Children],Surviving[Urban/ Rural],"Rural",Surviving[Area Name
],"Lucknow")</f>
        <v>1017744</v>
      </c>
      <c r="L74" s="38" t="s">
        <v>19</v>
      </c>
      <c r="M74" s="33">
        <v>211871</v>
      </c>
    </row>
    <row r="75" spans="1:13" x14ac:dyDescent="0.35">
      <c r="A75" s="76" t="s">
        <v>82</v>
      </c>
      <c r="B75" s="76"/>
      <c r="C75" s="76"/>
      <c r="D75" s="36">
        <f>AVERAGEIFS(Surviving[Total Surviving Children],Surviving[Educational Level], "Illiterate")</f>
        <v>45030.366666666669</v>
      </c>
      <c r="L75" s="38" t="s">
        <v>20</v>
      </c>
      <c r="M75" s="33">
        <v>195003</v>
      </c>
    </row>
    <row r="76" spans="1:13" x14ac:dyDescent="0.35">
      <c r="A76" s="76" t="s">
        <v>83</v>
      </c>
      <c r="B76" s="76"/>
      <c r="C76" s="76"/>
      <c r="D76" s="36">
        <f>AVERAGEIFS(Surviving[Total Surviving Children],Surviving[Educational Level], "Literate")</f>
        <v>45672.73333333333</v>
      </c>
      <c r="L76" s="38" t="s">
        <v>21</v>
      </c>
      <c r="M76" s="33">
        <v>125411</v>
      </c>
    </row>
    <row r="77" spans="1:13" x14ac:dyDescent="0.35">
      <c r="A77" s="76" t="s">
        <v>84</v>
      </c>
      <c r="B77" s="76"/>
      <c r="C77" s="76"/>
      <c r="D77" s="36">
        <f>(H66/G66)*1000</f>
        <v>834.9646944898318</v>
      </c>
      <c r="L77" s="38" t="s">
        <v>22</v>
      </c>
      <c r="M77" s="33">
        <v>83220</v>
      </c>
    </row>
    <row r="78" spans="1:13" x14ac:dyDescent="0.35">
      <c r="L78" s="38" t="s">
        <v>23</v>
      </c>
      <c r="M78" s="33">
        <v>39973</v>
      </c>
    </row>
    <row r="79" spans="1:13" x14ac:dyDescent="0.35">
      <c r="L79" s="38" t="s">
        <v>24</v>
      </c>
      <c r="M79" s="33">
        <v>50139</v>
      </c>
    </row>
    <row r="80" spans="1:13" x14ac:dyDescent="0.35">
      <c r="A80" s="37" t="s">
        <v>85</v>
      </c>
      <c r="B80" t="s">
        <v>89</v>
      </c>
      <c r="C80" t="s">
        <v>90</v>
      </c>
      <c r="L80" s="38" t="s">
        <v>14</v>
      </c>
      <c r="M80" s="33">
        <v>2549</v>
      </c>
    </row>
    <row r="81" spans="1:13" x14ac:dyDescent="0.35">
      <c r="A81" s="38" t="s">
        <v>7</v>
      </c>
      <c r="B81" s="33">
        <v>6861</v>
      </c>
      <c r="C81" s="33">
        <v>5985</v>
      </c>
      <c r="L81" s="38" t="s">
        <v>86</v>
      </c>
      <c r="M81" s="33">
        <v>2721093</v>
      </c>
    </row>
    <row r="82" spans="1:13" x14ac:dyDescent="0.35">
      <c r="A82" s="38" t="s">
        <v>8</v>
      </c>
      <c r="B82" s="33">
        <v>49703</v>
      </c>
      <c r="C82" s="33">
        <v>45400</v>
      </c>
    </row>
    <row r="83" spans="1:13" x14ac:dyDescent="0.35">
      <c r="A83" s="38" t="s">
        <v>9</v>
      </c>
      <c r="B83" s="33">
        <v>126143</v>
      </c>
      <c r="C83" s="33">
        <v>114736</v>
      </c>
    </row>
    <row r="84" spans="1:13" x14ac:dyDescent="0.35">
      <c r="A84" s="38" t="s">
        <v>10</v>
      </c>
      <c r="B84" s="33">
        <v>176321</v>
      </c>
      <c r="C84" s="33">
        <v>158351</v>
      </c>
    </row>
    <row r="85" spans="1:13" x14ac:dyDescent="0.35">
      <c r="A85" s="38" t="s">
        <v>15</v>
      </c>
      <c r="B85" s="33">
        <v>214919</v>
      </c>
      <c r="C85" s="33">
        <v>189546</v>
      </c>
    </row>
    <row r="86" spans="1:13" x14ac:dyDescent="0.35">
      <c r="A86" s="38" t="s">
        <v>16</v>
      </c>
      <c r="B86" s="33">
        <v>192117</v>
      </c>
      <c r="C86" s="33">
        <v>163045</v>
      </c>
    </row>
    <row r="87" spans="1:13" x14ac:dyDescent="0.35">
      <c r="A87" s="38" t="s">
        <v>17</v>
      </c>
      <c r="B87" s="33">
        <v>178531</v>
      </c>
      <c r="C87" s="33">
        <v>146288</v>
      </c>
    </row>
    <row r="88" spans="1:13" x14ac:dyDescent="0.35">
      <c r="A88" s="38" t="s">
        <v>18</v>
      </c>
      <c r="B88" s="33">
        <v>137614</v>
      </c>
      <c r="C88" s="33">
        <v>107367</v>
      </c>
    </row>
    <row r="89" spans="1:13" x14ac:dyDescent="0.35">
      <c r="A89" s="38" t="s">
        <v>19</v>
      </c>
      <c r="B89" s="33">
        <v>120606</v>
      </c>
      <c r="C89" s="33">
        <v>91265</v>
      </c>
    </row>
    <row r="90" spans="1:13" x14ac:dyDescent="0.35">
      <c r="A90" s="38" t="s">
        <v>20</v>
      </c>
      <c r="B90" s="33">
        <v>110384</v>
      </c>
      <c r="C90" s="33">
        <v>84619</v>
      </c>
    </row>
    <row r="91" spans="1:13" x14ac:dyDescent="0.35">
      <c r="A91" s="38" t="s">
        <v>21</v>
      </c>
      <c r="B91" s="33">
        <v>70919</v>
      </c>
      <c r="C91" s="33">
        <v>54492</v>
      </c>
    </row>
    <row r="92" spans="1:13" x14ac:dyDescent="0.35">
      <c r="A92" s="38" t="s">
        <v>22</v>
      </c>
      <c r="B92" s="33">
        <v>47145</v>
      </c>
      <c r="C92" s="33">
        <v>36075</v>
      </c>
      <c r="E92" s="37" t="s">
        <v>85</v>
      </c>
      <c r="F92" t="s">
        <v>87</v>
      </c>
      <c r="G92" t="s">
        <v>91</v>
      </c>
    </row>
    <row r="93" spans="1:13" x14ac:dyDescent="0.35">
      <c r="A93" s="38" t="s">
        <v>23</v>
      </c>
      <c r="B93" s="33">
        <v>22374</v>
      </c>
      <c r="C93" s="33">
        <v>17599</v>
      </c>
      <c r="E93" s="38" t="s">
        <v>2</v>
      </c>
      <c r="F93" s="33">
        <v>1017744</v>
      </c>
      <c r="G93" s="39">
        <v>0.3740202925809592</v>
      </c>
    </row>
    <row r="94" spans="1:13" x14ac:dyDescent="0.35">
      <c r="A94" s="38" t="s">
        <v>24</v>
      </c>
      <c r="B94" s="33">
        <v>27962</v>
      </c>
      <c r="C94" s="33">
        <v>22177</v>
      </c>
      <c r="E94" s="38" t="s">
        <v>3</v>
      </c>
      <c r="F94" s="33">
        <v>1703349</v>
      </c>
      <c r="G94" s="39">
        <v>0.62597970741904085</v>
      </c>
    </row>
    <row r="95" spans="1:13" x14ac:dyDescent="0.35">
      <c r="A95" s="38" t="s">
        <v>14</v>
      </c>
      <c r="B95" s="33">
        <v>1314</v>
      </c>
      <c r="C95" s="33">
        <v>1235</v>
      </c>
      <c r="E95" s="38" t="s">
        <v>86</v>
      </c>
      <c r="F95" s="33">
        <v>2721093</v>
      </c>
      <c r="G95" s="39">
        <v>1</v>
      </c>
    </row>
    <row r="96" spans="1:13" x14ac:dyDescent="0.35">
      <c r="A96" s="38" t="s">
        <v>86</v>
      </c>
      <c r="B96" s="33">
        <v>1482913</v>
      </c>
      <c r="C96" s="33">
        <v>1238180</v>
      </c>
    </row>
    <row r="113" spans="1:4" ht="14.5" customHeight="1" x14ac:dyDescent="0.35">
      <c r="A113" s="62"/>
      <c r="B113" s="62"/>
      <c r="C113" s="62"/>
    </row>
    <row r="114" spans="1:4" ht="15" thickBot="1" x14ac:dyDescent="0.4">
      <c r="A114" s="62"/>
      <c r="B114" s="62"/>
      <c r="C114" s="62"/>
    </row>
    <row r="115" spans="1:4" ht="58" x14ac:dyDescent="0.35">
      <c r="A115" s="71" t="s">
        <v>27</v>
      </c>
      <c r="B115" s="70"/>
      <c r="C115" s="70" t="s">
        <v>28</v>
      </c>
      <c r="D115" s="70"/>
    </row>
    <row r="117" spans="1:4" x14ac:dyDescent="0.35">
      <c r="A117" t="s">
        <v>158</v>
      </c>
      <c r="B117">
        <v>24715.216666666667</v>
      </c>
      <c r="C117" t="s">
        <v>158</v>
      </c>
      <c r="D117">
        <v>20636.333333333332</v>
      </c>
    </row>
    <row r="118" spans="1:4" x14ac:dyDescent="0.35">
      <c r="A118" t="s">
        <v>159</v>
      </c>
      <c r="B118">
        <v>2875.9640765390855</v>
      </c>
      <c r="C118" t="s">
        <v>159</v>
      </c>
      <c r="D118">
        <v>2446.9797577503423</v>
      </c>
    </row>
    <row r="119" spans="1:4" x14ac:dyDescent="0.35">
      <c r="A119" t="s">
        <v>160</v>
      </c>
      <c r="B119">
        <v>19887.5</v>
      </c>
      <c r="C119" t="s">
        <v>160</v>
      </c>
      <c r="D119">
        <v>16629.5</v>
      </c>
    </row>
    <row r="120" spans="1:4" x14ac:dyDescent="0.35">
      <c r="A120" t="s">
        <v>161</v>
      </c>
      <c r="B120" t="e">
        <v>#N/A</v>
      </c>
      <c r="C120" t="s">
        <v>161</v>
      </c>
      <c r="D120" t="e">
        <v>#N/A</v>
      </c>
    </row>
    <row r="121" spans="1:4" x14ac:dyDescent="0.35">
      <c r="A121" t="s">
        <v>162</v>
      </c>
      <c r="B121">
        <v>22277.121945453342</v>
      </c>
      <c r="C121" t="s">
        <v>162</v>
      </c>
      <c r="D121">
        <v>18954.223700547471</v>
      </c>
    </row>
    <row r="122" spans="1:4" x14ac:dyDescent="0.35">
      <c r="A122" t="s">
        <v>163</v>
      </c>
      <c r="B122">
        <v>496270162.1725989</v>
      </c>
      <c r="C122" t="s">
        <v>163</v>
      </c>
      <c r="D122">
        <v>359262596.09039545</v>
      </c>
    </row>
    <row r="123" spans="1:4" x14ac:dyDescent="0.35">
      <c r="A123" t="s">
        <v>164</v>
      </c>
      <c r="B123">
        <v>0.4779250574774383</v>
      </c>
      <c r="C123" t="s">
        <v>164</v>
      </c>
      <c r="D123">
        <v>0.68468822417441055</v>
      </c>
    </row>
    <row r="124" spans="1:4" x14ac:dyDescent="0.35">
      <c r="A124" t="s">
        <v>165</v>
      </c>
      <c r="B124">
        <v>1.0069036124440414</v>
      </c>
      <c r="C124" t="s">
        <v>165</v>
      </c>
      <c r="D124">
        <v>1.078614847513061</v>
      </c>
    </row>
    <row r="125" spans="1:4" x14ac:dyDescent="0.35">
      <c r="A125" t="s">
        <v>166</v>
      </c>
      <c r="B125">
        <v>88264</v>
      </c>
      <c r="C125" t="s">
        <v>166</v>
      </c>
      <c r="D125">
        <v>76602</v>
      </c>
    </row>
    <row r="126" spans="1:4" x14ac:dyDescent="0.35">
      <c r="A126" t="s">
        <v>167</v>
      </c>
      <c r="B126">
        <v>214</v>
      </c>
      <c r="C126" t="s">
        <v>167</v>
      </c>
      <c r="D126">
        <v>207</v>
      </c>
    </row>
    <row r="127" spans="1:4" x14ac:dyDescent="0.35">
      <c r="A127" t="s">
        <v>168</v>
      </c>
      <c r="B127">
        <v>88478</v>
      </c>
      <c r="C127" t="s">
        <v>168</v>
      </c>
      <c r="D127">
        <v>76809</v>
      </c>
    </row>
    <row r="128" spans="1:4" x14ac:dyDescent="0.35">
      <c r="A128" t="s">
        <v>169</v>
      </c>
      <c r="B128">
        <v>1482913</v>
      </c>
      <c r="C128" t="s">
        <v>169</v>
      </c>
      <c r="D128">
        <v>1238180</v>
      </c>
    </row>
    <row r="129" spans="1:4" ht="15" thickBot="1" x14ac:dyDescent="0.4">
      <c r="A129" s="69" t="s">
        <v>170</v>
      </c>
      <c r="B129" s="69">
        <v>60</v>
      </c>
      <c r="C129" s="69" t="s">
        <v>170</v>
      </c>
      <c r="D129" s="69">
        <v>60</v>
      </c>
    </row>
  </sheetData>
  <mergeCells count="10">
    <mergeCell ref="A1:I2"/>
    <mergeCell ref="A69:C69"/>
    <mergeCell ref="A70:C70"/>
    <mergeCell ref="A71:C71"/>
    <mergeCell ref="A72:C72"/>
    <mergeCell ref="A73:C73"/>
    <mergeCell ref="A74:C74"/>
    <mergeCell ref="A75:C75"/>
    <mergeCell ref="A76:C76"/>
    <mergeCell ref="A77:C77"/>
  </mergeCells>
  <pageMargins left="0.7" right="0.7" top="0.75" bottom="0.75" header="0.3" footer="0.3"/>
  <drawing r:id="rId5"/>
  <tableParts count="1">
    <tablePart r:id="rId6"/>
  </tableParts>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24828-543A-4AF5-B497-7DBEDE7F4A86}">
  <dimension ref="A1:O30"/>
  <sheetViews>
    <sheetView zoomScale="65" zoomScaleNormal="50" workbookViewId="0">
      <selection activeCell="D4" sqref="D4:F13"/>
    </sheetView>
  </sheetViews>
  <sheetFormatPr defaultRowHeight="14.5" x14ac:dyDescent="0.35"/>
  <cols>
    <col min="1" max="2" width="12.81640625" customWidth="1"/>
    <col min="3" max="3" width="15.7265625" customWidth="1"/>
    <col min="4" max="5" width="16.90625" customWidth="1"/>
    <col min="6" max="6" width="15.453125" customWidth="1"/>
    <col min="12" max="12" width="21.26953125" bestFit="1" customWidth="1"/>
    <col min="13" max="13" width="15.26953125" bestFit="1" customWidth="1"/>
    <col min="14" max="14" width="7.81640625" bestFit="1" customWidth="1"/>
    <col min="15" max="15" width="10.7265625" bestFit="1" customWidth="1"/>
  </cols>
  <sheetData>
    <row r="1" spans="1:9" ht="14.5" customHeight="1" x14ac:dyDescent="0.35">
      <c r="A1" s="84" t="s">
        <v>48</v>
      </c>
      <c r="B1" s="85"/>
      <c r="C1" s="85"/>
      <c r="D1" s="85"/>
      <c r="E1" s="85"/>
      <c r="F1" s="85"/>
      <c r="G1" s="85"/>
      <c r="H1" s="85"/>
      <c r="I1" s="85"/>
    </row>
    <row r="2" spans="1:9" x14ac:dyDescent="0.35">
      <c r="A2" s="84"/>
      <c r="B2" s="85"/>
      <c r="C2" s="85"/>
      <c r="D2" s="85"/>
      <c r="E2" s="85"/>
      <c r="F2" s="85"/>
      <c r="G2" s="85"/>
      <c r="H2" s="85"/>
      <c r="I2" s="85"/>
    </row>
    <row r="3" spans="1:9" ht="39" x14ac:dyDescent="0.35">
      <c r="A3" s="32" t="s">
        <v>71</v>
      </c>
      <c r="B3" s="17" t="s">
        <v>4</v>
      </c>
      <c r="C3" s="18" t="s">
        <v>32</v>
      </c>
      <c r="D3" s="18" t="s">
        <v>33</v>
      </c>
      <c r="E3" s="18" t="s">
        <v>34</v>
      </c>
      <c r="F3" s="18" t="s">
        <v>35</v>
      </c>
      <c r="G3" s="49" t="s">
        <v>96</v>
      </c>
      <c r="H3" s="49" t="s">
        <v>100</v>
      </c>
      <c r="I3" s="49" t="s">
        <v>101</v>
      </c>
    </row>
    <row r="4" spans="1:9" x14ac:dyDescent="0.35">
      <c r="A4" s="11" t="s">
        <v>0</v>
      </c>
      <c r="B4" s="20" t="s">
        <v>2</v>
      </c>
      <c r="C4" s="8" t="s">
        <v>95</v>
      </c>
      <c r="D4" s="7">
        <v>306652</v>
      </c>
      <c r="E4" s="7">
        <v>276303</v>
      </c>
      <c r="F4" s="40">
        <f>SUM(Population[[#This Row],[Male Population ]:[Female Population]])</f>
        <v>582955</v>
      </c>
      <c r="G4" s="43">
        <f>IF(Population[[#This Row],[Female Population]]=0,"",Population[[#This Row],[Male Population ]]/Population[[#This Row],[Female Population]])</f>
        <v>1.1098395601929765</v>
      </c>
      <c r="H4" s="44">
        <f>IFERROR(Population[[#This Row],[Male Population ]]/Population[[#This Row],[Total Population]],0)</f>
        <v>0.52603031108747678</v>
      </c>
      <c r="I4" s="45">
        <f>IFERROR(Population[[#This Row],[Female Population]]/Population[[#This Row],[Total Population]],0)</f>
        <v>0.47396968891252328</v>
      </c>
    </row>
    <row r="5" spans="1:9" x14ac:dyDescent="0.35">
      <c r="A5" s="11" t="s">
        <v>0</v>
      </c>
      <c r="B5" s="20" t="s">
        <v>2</v>
      </c>
      <c r="C5" s="8" t="s">
        <v>94</v>
      </c>
      <c r="D5" s="7">
        <v>239765</v>
      </c>
      <c r="E5" s="7">
        <v>213365</v>
      </c>
      <c r="F5" s="7">
        <f>SUM(Population[[#This Row],[Male Population ]:[Female Population]])</f>
        <v>453130</v>
      </c>
      <c r="G5" s="36">
        <f>IF(Population[[#This Row],[Female Population]]=0,"",Population[[#This Row],[Male Population ]]/Population[[#This Row],[Female Population]])</f>
        <v>1.1237316335856395</v>
      </c>
      <c r="H5" s="46">
        <f>IFERROR(Population[[#This Row],[Male Population ]]/Population[[#This Row],[Total Population]],0)</f>
        <v>0.52913071304040782</v>
      </c>
      <c r="I5" s="45">
        <f>IFERROR(Population[[#This Row],[Female Population]]/Population[[#This Row],[Total Population]],0)</f>
        <v>0.47086928695959218</v>
      </c>
    </row>
    <row r="6" spans="1:9" x14ac:dyDescent="0.35">
      <c r="A6" s="11" t="s">
        <v>0</v>
      </c>
      <c r="B6" s="20" t="s">
        <v>2</v>
      </c>
      <c r="C6" s="8" t="s">
        <v>93</v>
      </c>
      <c r="D6" s="7">
        <v>119580</v>
      </c>
      <c r="E6" s="7">
        <v>106242</v>
      </c>
      <c r="F6" s="7">
        <f>SUM(Population[[#This Row],[Male Population ]:[Female Population]])</f>
        <v>225822</v>
      </c>
      <c r="G6" s="36">
        <f>IF(Population[[#This Row],[Female Population]]=0,"",Population[[#This Row],[Male Population ]]/Population[[#This Row],[Female Population]])</f>
        <v>1.1255435703394139</v>
      </c>
      <c r="H6" s="46">
        <f>IFERROR(Population[[#This Row],[Male Population ]]/Population[[#This Row],[Total Population]],0)</f>
        <v>0.52953210936046979</v>
      </c>
      <c r="I6" s="45">
        <f>IFERROR(Population[[#This Row],[Female Population]]/Population[[#This Row],[Total Population]],0)</f>
        <v>0.47046789063953026</v>
      </c>
    </row>
    <row r="7" spans="1:9" x14ac:dyDescent="0.35">
      <c r="A7" s="11" t="s">
        <v>0</v>
      </c>
      <c r="B7" s="20" t="s">
        <v>2</v>
      </c>
      <c r="C7" s="7" t="s">
        <v>92</v>
      </c>
      <c r="D7" s="7">
        <v>57809</v>
      </c>
      <c r="E7" s="7">
        <v>56052</v>
      </c>
      <c r="F7" s="7">
        <f>SUM(Population[[#This Row],[Male Population ]:[Female Population]])</f>
        <v>113861</v>
      </c>
      <c r="G7" s="36">
        <f>IF(Population[[#This Row],[Female Population]]=0,"",Population[[#This Row],[Male Population ]]/Population[[#This Row],[Female Population]])</f>
        <v>1.0313458930992649</v>
      </c>
      <c r="H7" s="46">
        <f>IFERROR(Population[[#This Row],[Male Population ]]/Population[[#This Row],[Total Population]],0)</f>
        <v>0.50771554790490159</v>
      </c>
      <c r="I7" s="45">
        <f>IFERROR(Population[[#This Row],[Female Population]]/Population[[#This Row],[Total Population]],0)</f>
        <v>0.49228445209509841</v>
      </c>
    </row>
    <row r="8" spans="1:9" x14ac:dyDescent="0.35">
      <c r="A8" s="11" t="s">
        <v>0</v>
      </c>
      <c r="B8" s="20" t="s">
        <v>2</v>
      </c>
      <c r="C8" s="7" t="s">
        <v>24</v>
      </c>
      <c r="D8" s="7">
        <v>6954</v>
      </c>
      <c r="E8" s="7">
        <v>7379</v>
      </c>
      <c r="F8" s="7">
        <f>SUM(Population[[#This Row],[Male Population ]:[Female Population]])</f>
        <v>14333</v>
      </c>
      <c r="G8" s="36">
        <f>IF(Population[[#This Row],[Female Population]]=0,"",Population[[#This Row],[Male Population ]]/Population[[#This Row],[Female Population]])</f>
        <v>0.94240411979943084</v>
      </c>
      <c r="H8" s="46">
        <f>IFERROR(Population[[#This Row],[Male Population ]]/Population[[#This Row],[Total Population]],0)</f>
        <v>0.48517407381567013</v>
      </c>
      <c r="I8" s="45">
        <f>IFERROR(Population[[#This Row],[Female Population]]/Population[[#This Row],[Total Population]],0)</f>
        <v>0.51482592618432987</v>
      </c>
    </row>
    <row r="9" spans="1:9" x14ac:dyDescent="0.35">
      <c r="A9" s="11" t="s">
        <v>0</v>
      </c>
      <c r="B9" s="20" t="s">
        <v>3</v>
      </c>
      <c r="C9" s="8" t="s">
        <v>95</v>
      </c>
      <c r="D9" s="7">
        <v>471996</v>
      </c>
      <c r="E9" s="7">
        <v>420180</v>
      </c>
      <c r="F9" s="7">
        <f>SUM(Population[[#This Row],[Male Population ]:[Female Population]])</f>
        <v>892176</v>
      </c>
      <c r="G9" s="36">
        <f>IF(Population[[#This Row],[Female Population]]=0,"",Population[[#This Row],[Male Population ]]/Population[[#This Row],[Female Population]])</f>
        <v>1.1233185777523917</v>
      </c>
      <c r="H9" s="46">
        <f>IFERROR(Population[[#This Row],[Male Population ]]/Population[[#This Row],[Total Population]],0)</f>
        <v>0.52903911335879916</v>
      </c>
      <c r="I9" s="45">
        <f>IFERROR(Population[[#This Row],[Female Population]]/Population[[#This Row],[Total Population]],0)</f>
        <v>0.47096088664120084</v>
      </c>
    </row>
    <row r="10" spans="1:9" x14ac:dyDescent="0.35">
      <c r="A10" s="11" t="s">
        <v>0</v>
      </c>
      <c r="B10" s="20" t="s">
        <v>3</v>
      </c>
      <c r="C10" s="8" t="s">
        <v>94</v>
      </c>
      <c r="D10" s="7">
        <v>536182</v>
      </c>
      <c r="E10" s="7">
        <v>514499</v>
      </c>
      <c r="F10" s="7">
        <f>SUM(Population[[#This Row],[Male Population ]:[Female Population]])</f>
        <v>1050681</v>
      </c>
      <c r="G10" s="36">
        <f>IF(Population[[#This Row],[Female Population]]=0,"",Population[[#This Row],[Male Population ]]/Population[[#This Row],[Female Population]])</f>
        <v>1.0421439108725188</v>
      </c>
      <c r="H10" s="46">
        <f>IFERROR(Population[[#This Row],[Male Population ]]/Population[[#This Row],[Total Population]],0)</f>
        <v>0.51031854578126001</v>
      </c>
      <c r="I10" s="45">
        <f>IFERROR(Population[[#This Row],[Female Population]]/Population[[#This Row],[Total Population]],0)</f>
        <v>0.48968145421874004</v>
      </c>
    </row>
    <row r="11" spans="1:9" x14ac:dyDescent="0.35">
      <c r="A11" s="11" t="s">
        <v>0</v>
      </c>
      <c r="B11" s="20" t="s">
        <v>3</v>
      </c>
      <c r="C11" s="8" t="s">
        <v>93</v>
      </c>
      <c r="D11" s="7">
        <v>314960</v>
      </c>
      <c r="E11" s="7">
        <v>288908</v>
      </c>
      <c r="F11" s="7">
        <f>SUM(Population[[#This Row],[Male Population ]:[Female Population]])</f>
        <v>603868</v>
      </c>
      <c r="G11" s="36">
        <f>IF(Population[[#This Row],[Female Population]]=0,"",Population[[#This Row],[Male Population ]]/Population[[#This Row],[Female Population]])</f>
        <v>1.0901740346407853</v>
      </c>
      <c r="H11" s="46">
        <f>IFERROR(Population[[#This Row],[Male Population ]]/Population[[#This Row],[Total Population]],0)</f>
        <v>0.52157093934436005</v>
      </c>
      <c r="I11" s="45">
        <f>IFERROR(Population[[#This Row],[Female Population]]/Population[[#This Row],[Total Population]],0)</f>
        <v>0.47842906065563995</v>
      </c>
    </row>
    <row r="12" spans="1:9" x14ac:dyDescent="0.35">
      <c r="A12" s="11" t="s">
        <v>0</v>
      </c>
      <c r="B12" s="20" t="s">
        <v>3</v>
      </c>
      <c r="C12" s="7" t="s">
        <v>92</v>
      </c>
      <c r="D12" s="7">
        <v>107823</v>
      </c>
      <c r="E12" s="7">
        <v>96186</v>
      </c>
      <c r="F12" s="7">
        <f>SUM(Population[[#This Row],[Male Population ]:[Female Population]])</f>
        <v>204009</v>
      </c>
      <c r="G12" s="36">
        <f>IF(Population[[#This Row],[Female Population]]=0,"",Population[[#This Row],[Male Population ]]/Population[[#This Row],[Female Population]])</f>
        <v>1.1209843428357558</v>
      </c>
      <c r="H12" s="46">
        <f>IFERROR(Population[[#This Row],[Male Population ]]/Population[[#This Row],[Total Population]],0)</f>
        <v>0.52852080055291684</v>
      </c>
      <c r="I12" s="45">
        <f>IFERROR(Population[[#This Row],[Female Population]]/Population[[#This Row],[Total Population]],0)</f>
        <v>0.47147919944708322</v>
      </c>
    </row>
    <row r="13" spans="1:9" x14ac:dyDescent="0.35">
      <c r="A13" s="11" t="s">
        <v>0</v>
      </c>
      <c r="B13" s="20" t="s">
        <v>3</v>
      </c>
      <c r="C13" s="7" t="s">
        <v>24</v>
      </c>
      <c r="D13" s="7">
        <v>13424</v>
      </c>
      <c r="E13" s="7">
        <v>13759</v>
      </c>
      <c r="F13" s="41">
        <f>SUM(Population[[#This Row],[Male Population ]:[Female Population]])</f>
        <v>27183</v>
      </c>
      <c r="G13" s="47">
        <f>IF(Population[[#This Row],[Female Population]]=0,"",Population[[#This Row],[Male Population ]]/Population[[#This Row],[Female Population]])</f>
        <v>0.9756523003125227</v>
      </c>
      <c r="H13" s="48">
        <f>IFERROR(Population[[#This Row],[Male Population ]]/Population[[#This Row],[Total Population]],0)</f>
        <v>0.49383806055255125</v>
      </c>
      <c r="I13" s="45">
        <f>IFERROR(Population[[#This Row],[Female Population]]/Population[[#This Row],[Total Population]],0)</f>
        <v>0.50616193944744881</v>
      </c>
    </row>
    <row r="16" spans="1:9" x14ac:dyDescent="0.35">
      <c r="A16" s="83" t="s">
        <v>97</v>
      </c>
      <c r="B16" s="83"/>
      <c r="C16" s="83"/>
      <c r="D16" s="42">
        <f>SUMIFS(Population[Total Population], Population[Urban/ Rural], "Urban") / SUM(Population[Total Population])</f>
        <v>0.66648392593314132</v>
      </c>
    </row>
    <row r="17" spans="1:15" x14ac:dyDescent="0.35">
      <c r="A17" s="83" t="s">
        <v>98</v>
      </c>
      <c r="B17" s="83"/>
      <c r="C17" s="83"/>
      <c r="D17" s="42">
        <f>SUMIFS(Population[Total Population], Population[Urban/ Rural], "Rural") / SUM(Population[Total Population])</f>
        <v>0.33351607406685863</v>
      </c>
    </row>
    <row r="18" spans="1:15" x14ac:dyDescent="0.35">
      <c r="A18" s="83" t="s">
        <v>99</v>
      </c>
      <c r="B18" s="83"/>
      <c r="C18" s="83"/>
      <c r="D18" s="42">
        <f>(SUMIFS(Population[Total Population],Population[Age Group], "0-19")
+ SUMIFS(Population[Total Population],Population[Age Group], "60-79")
+ SUMIFS(Population[Total Population],Population[Age Group], "80+")) /
(SUMIFS(Population[Total Population], Population[Age Group], "20-39")
+ SUMIFS(Population[Total Population],Population[Age Group], "40-59"))</f>
        <v>0.78616507985211925</v>
      </c>
    </row>
    <row r="23" spans="1:15" x14ac:dyDescent="0.35">
      <c r="L23" s="37" t="s">
        <v>102</v>
      </c>
      <c r="M23" s="37" t="s">
        <v>103</v>
      </c>
    </row>
    <row r="24" spans="1:15" x14ac:dyDescent="0.35">
      <c r="L24" s="37" t="s">
        <v>85</v>
      </c>
      <c r="M24" t="s">
        <v>2</v>
      </c>
      <c r="N24" t="s">
        <v>3</v>
      </c>
      <c r="O24" t="s">
        <v>86</v>
      </c>
    </row>
    <row r="25" spans="1:15" x14ac:dyDescent="0.35">
      <c r="L25" s="38" t="s">
        <v>95</v>
      </c>
      <c r="M25">
        <v>582955</v>
      </c>
      <c r="N25">
        <v>892176</v>
      </c>
      <c r="O25">
        <v>1475131</v>
      </c>
    </row>
    <row r="26" spans="1:15" x14ac:dyDescent="0.35">
      <c r="L26" s="38" t="s">
        <v>94</v>
      </c>
      <c r="M26">
        <v>453130</v>
      </c>
      <c r="N26">
        <v>1050681</v>
      </c>
      <c r="O26">
        <v>1503811</v>
      </c>
    </row>
    <row r="27" spans="1:15" x14ac:dyDescent="0.35">
      <c r="L27" s="38" t="s">
        <v>93</v>
      </c>
      <c r="M27">
        <v>225822</v>
      </c>
      <c r="N27">
        <v>603868</v>
      </c>
      <c r="O27">
        <v>829690</v>
      </c>
    </row>
    <row r="28" spans="1:15" x14ac:dyDescent="0.35">
      <c r="L28" s="38" t="s">
        <v>92</v>
      </c>
      <c r="M28">
        <v>113861</v>
      </c>
      <c r="N28">
        <v>204009</v>
      </c>
      <c r="O28">
        <v>317870</v>
      </c>
    </row>
    <row r="29" spans="1:15" x14ac:dyDescent="0.35">
      <c r="L29" s="38" t="s">
        <v>24</v>
      </c>
      <c r="M29">
        <v>14333</v>
      </c>
      <c r="N29">
        <v>27183</v>
      </c>
      <c r="O29">
        <v>41516</v>
      </c>
    </row>
    <row r="30" spans="1:15" x14ac:dyDescent="0.35">
      <c r="L30" s="38" t="s">
        <v>86</v>
      </c>
      <c r="M30">
        <v>1390101</v>
      </c>
      <c r="N30">
        <v>2777917</v>
      </c>
      <c r="O30">
        <v>4168018</v>
      </c>
    </row>
  </sheetData>
  <mergeCells count="4">
    <mergeCell ref="A16:C16"/>
    <mergeCell ref="A17:C17"/>
    <mergeCell ref="A18:C18"/>
    <mergeCell ref="A1:I2"/>
  </mergeCells>
  <phoneticPr fontId="10" type="noConversion"/>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1FF50-63E9-479E-B918-9C08D0930C0D}">
  <dimension ref="A1:P33"/>
  <sheetViews>
    <sheetView topLeftCell="A32" zoomScale="71" workbookViewId="0">
      <selection activeCell="A52" sqref="A52:D66"/>
    </sheetView>
  </sheetViews>
  <sheetFormatPr defaultRowHeight="14.5" x14ac:dyDescent="0.35"/>
  <cols>
    <col min="1" max="1" width="12.36328125" bestFit="1" customWidth="1"/>
    <col min="2" max="2" width="21.6328125" bestFit="1" customWidth="1"/>
    <col min="3" max="3" width="23" bestFit="1" customWidth="1"/>
    <col min="4" max="4" width="15.7265625" customWidth="1"/>
    <col min="5" max="5" width="12.90625" bestFit="1" customWidth="1"/>
    <col min="6" max="6" width="14.54296875" bestFit="1" customWidth="1"/>
    <col min="7" max="7" width="11.7265625" bestFit="1" customWidth="1"/>
    <col min="8" max="8" width="43.08984375" customWidth="1"/>
    <col min="9" max="9" width="14.54296875" bestFit="1" customWidth="1"/>
    <col min="10" max="10" width="39.54296875" bestFit="1" customWidth="1"/>
    <col min="11" max="11" width="37.54296875" bestFit="1" customWidth="1"/>
    <col min="12" max="12" width="10.90625" customWidth="1"/>
    <col min="13" max="13" width="41.6328125" bestFit="1" customWidth="1"/>
    <col min="14" max="14" width="16.1796875" bestFit="1" customWidth="1"/>
    <col min="15" max="16" width="12.453125" bestFit="1" customWidth="1"/>
  </cols>
  <sheetData>
    <row r="1" spans="1:16" x14ac:dyDescent="0.35">
      <c r="A1" s="87" t="s">
        <v>49</v>
      </c>
      <c r="B1" s="87"/>
      <c r="C1" s="87"/>
      <c r="D1" s="87"/>
      <c r="E1" s="87"/>
      <c r="F1" s="87"/>
      <c r="G1" s="87"/>
      <c r="H1" s="87"/>
      <c r="I1" s="87"/>
      <c r="J1" s="87"/>
      <c r="K1" s="87"/>
      <c r="L1" s="87"/>
      <c r="M1" s="87"/>
      <c r="N1" s="87"/>
      <c r="O1" s="87"/>
      <c r="P1" s="87"/>
    </row>
    <row r="2" spans="1:16" x14ac:dyDescent="0.35">
      <c r="A2" s="87"/>
      <c r="B2" s="87"/>
      <c r="C2" s="87"/>
      <c r="D2" s="87"/>
      <c r="E2" s="87"/>
      <c r="F2" s="87"/>
      <c r="G2" s="87"/>
      <c r="H2" s="87"/>
      <c r="I2" s="87"/>
      <c r="J2" s="87"/>
      <c r="K2" s="87"/>
      <c r="L2" s="87"/>
      <c r="M2" s="87"/>
      <c r="N2" s="87"/>
      <c r="O2" s="87"/>
      <c r="P2" s="87"/>
    </row>
    <row r="3" spans="1:16" ht="65" x14ac:dyDescent="0.35">
      <c r="A3" s="50" t="s">
        <v>71</v>
      </c>
      <c r="B3" s="51" t="s">
        <v>4</v>
      </c>
      <c r="C3" s="51" t="s">
        <v>32</v>
      </c>
      <c r="D3" s="51" t="s">
        <v>33</v>
      </c>
      <c r="E3" s="51" t="s">
        <v>34</v>
      </c>
      <c r="F3" s="51" t="s">
        <v>35</v>
      </c>
      <c r="G3" s="51" t="s">
        <v>36</v>
      </c>
      <c r="H3" s="51" t="s">
        <v>37</v>
      </c>
      <c r="I3" s="52" t="s">
        <v>29</v>
      </c>
      <c r="J3" s="55" t="s">
        <v>104</v>
      </c>
      <c r="K3" s="55" t="s">
        <v>105</v>
      </c>
      <c r="L3" s="55" t="s">
        <v>106</v>
      </c>
      <c r="M3" s="55" t="s">
        <v>107</v>
      </c>
      <c r="N3" s="55" t="s">
        <v>108</v>
      </c>
      <c r="O3" s="55" t="s">
        <v>109</v>
      </c>
      <c r="P3" s="55" t="s">
        <v>110</v>
      </c>
    </row>
    <row r="4" spans="1:16" x14ac:dyDescent="0.35">
      <c r="A4" s="2" t="s">
        <v>0</v>
      </c>
      <c r="B4" s="53" t="s">
        <v>2</v>
      </c>
      <c r="C4" s="54" t="s">
        <v>14</v>
      </c>
      <c r="D4" s="7">
        <v>540246</v>
      </c>
      <c r="E4" s="7">
        <v>280929</v>
      </c>
      <c r="F4" s="7">
        <f>Education[[#This Row],[Male Population ]]+Education[[#This Row],[Female Population]]</f>
        <v>821175</v>
      </c>
      <c r="G4" s="7">
        <v>301229</v>
      </c>
      <c r="H4" s="7">
        <v>157545</v>
      </c>
      <c r="I4" s="7">
        <f>Education[[#This Row],[Population attending educational institution (Male)]]+Education[[#This Row],[Population attending educational institution (Female)]]</f>
        <v>458774</v>
      </c>
      <c r="J4" s="57">
        <f>Education[[#This Row],[Population attending educational institution (Male)]]/Education[[#This Row],[Male Population ]]</f>
        <v>0.55757747396556379</v>
      </c>
      <c r="K4" s="57">
        <f>Education[[#This Row],[Population attending educational institution (Female)]]/Education[[#This Row],[Female Population]]</f>
        <v>0.56080005980158687</v>
      </c>
      <c r="L4" s="58">
        <f>Education[[#This Row],[Total]] / Education[[#This Row],[Total Population]]</f>
        <v>0.55867994032940604</v>
      </c>
      <c r="M4" s="56">
        <f>(Education[[#This Row],[Population attending educational institution (Male)]] / Education[[#This Row],[Male Population ]]) - (Education[[#This Row],[Population attending educational institution (Female)]] / Education[[#This Row],[Female Population]])</f>
        <v>-3.2225858360230841E-3</v>
      </c>
      <c r="N4" s="56">
        <f>Education[[#This Row],[Male Population ]] / Education[[#This Row],[Female Population]]</f>
        <v>1.9230695300236003</v>
      </c>
      <c r="O4" s="58">
        <f>Education[[#This Row],[Population attending educational institution (Male)]] / Education[[#This Row],[Total]]</f>
        <v>0.65659562224537571</v>
      </c>
      <c r="P4" s="58">
        <f>Education[[#This Row],[Population attending educational institution (Female)]] / Education[[#This Row],[Total]]</f>
        <v>0.34340437775462429</v>
      </c>
    </row>
    <row r="5" spans="1:16" x14ac:dyDescent="0.35">
      <c r="A5" s="2" t="s">
        <v>0</v>
      </c>
      <c r="B5" s="53" t="s">
        <v>2</v>
      </c>
      <c r="C5" s="54" t="s">
        <v>7</v>
      </c>
      <c r="D5" s="7">
        <v>188108</v>
      </c>
      <c r="E5" s="7">
        <v>100795</v>
      </c>
      <c r="F5" s="7">
        <f>Education[[#This Row],[Male Population ]]+Education[[#This Row],[Female Population]]</f>
        <v>288903</v>
      </c>
      <c r="G5" s="7">
        <v>103549</v>
      </c>
      <c r="H5" s="7">
        <v>55270</v>
      </c>
      <c r="I5" s="7">
        <f>Education[[#This Row],[Population attending educational institution (Male)]]+Education[[#This Row],[Population attending educational institution (Female)]]</f>
        <v>158819</v>
      </c>
      <c r="J5" s="58">
        <f>Education[[#This Row],[Population attending educational institution (Male)]]/Education[[#This Row],[Male Population ]]</f>
        <v>0.55047632211282882</v>
      </c>
      <c r="K5" s="58">
        <f>Education[[#This Row],[Population attending educational institution (Female)]]/Education[[#This Row],[Female Population]]</f>
        <v>0.54834069150255471</v>
      </c>
      <c r="L5" s="58">
        <f>Education[[#This Row],[Total]] / Education[[#This Row],[Total Population]]</f>
        <v>0.54973122466710278</v>
      </c>
      <c r="M5" s="56">
        <f>(Education[[#This Row],[Population attending educational institution (Male)]] / Education[[#This Row],[Male Population ]]) - (Education[[#This Row],[Population attending educational institution (Female)]] / Education[[#This Row],[Female Population]])</f>
        <v>2.1356306102741085E-3</v>
      </c>
      <c r="N5" s="56">
        <f>Education[[#This Row],[Male Population ]] / Education[[#This Row],[Female Population]]</f>
        <v>1.866243365246292</v>
      </c>
      <c r="O5" s="58">
        <f>Education[[#This Row],[Population attending educational institution (Male)]] / Education[[#This Row],[Total]]</f>
        <v>0.65199377908184786</v>
      </c>
      <c r="P5" s="58">
        <f>Education[[#This Row],[Population attending educational institution (Female)]] / Education[[#This Row],[Total]]</f>
        <v>0.34800622091815209</v>
      </c>
    </row>
    <row r="6" spans="1:16" x14ac:dyDescent="0.35">
      <c r="A6" s="2" t="s">
        <v>0</v>
      </c>
      <c r="B6" s="53" t="s">
        <v>2</v>
      </c>
      <c r="C6" s="54" t="s">
        <v>8</v>
      </c>
      <c r="D6" s="7">
        <v>138308</v>
      </c>
      <c r="E6" s="7">
        <v>76581</v>
      </c>
      <c r="F6" s="7">
        <f>Education[[#This Row],[Male Population ]]+Education[[#This Row],[Female Population]]</f>
        <v>214889</v>
      </c>
      <c r="G6" s="7">
        <v>32173</v>
      </c>
      <c r="H6" s="7">
        <v>19687</v>
      </c>
      <c r="I6" s="7">
        <f>Education[[#This Row],[Population attending educational institution (Male)]]+Education[[#This Row],[Population attending educational institution (Female)]]</f>
        <v>51860</v>
      </c>
      <c r="J6" s="58">
        <f>Education[[#This Row],[Population attending educational institution (Male)]]/Education[[#This Row],[Male Population ]]</f>
        <v>0.23261850362958036</v>
      </c>
      <c r="K6" s="58">
        <f>Education[[#This Row],[Population attending educational institution (Female)]]/Education[[#This Row],[Female Population]]</f>
        <v>0.25707420900745614</v>
      </c>
      <c r="L6" s="58">
        <f>Education[[#This Row],[Total]] / Education[[#This Row],[Total Population]]</f>
        <v>0.24133389796592661</v>
      </c>
      <c r="M6" s="56">
        <f>(Education[[#This Row],[Population attending educational institution (Male)]] / Education[[#This Row],[Male Population ]]) - (Education[[#This Row],[Population attending educational institution (Female)]] / Education[[#This Row],[Female Population]])</f>
        <v>-2.445570537787578E-2</v>
      </c>
      <c r="N6" s="56">
        <f>Education[[#This Row],[Male Population ]] / Education[[#This Row],[Female Population]]</f>
        <v>1.8060354395999008</v>
      </c>
      <c r="O6" s="58">
        <f>Education[[#This Row],[Population attending educational institution (Male)]] / Education[[#This Row],[Total]]</f>
        <v>0.62038179714616271</v>
      </c>
      <c r="P6" s="58">
        <f>Education[[#This Row],[Population attending educational institution (Female)]] / Education[[#This Row],[Total]]</f>
        <v>0.37961820285383724</v>
      </c>
    </row>
    <row r="7" spans="1:16" x14ac:dyDescent="0.35">
      <c r="A7" s="2" t="s">
        <v>0</v>
      </c>
      <c r="B7" s="53" t="s">
        <v>2</v>
      </c>
      <c r="C7" s="54" t="s">
        <v>9</v>
      </c>
      <c r="D7" s="7">
        <v>113288</v>
      </c>
      <c r="E7" s="7">
        <v>59420</v>
      </c>
      <c r="F7" s="7">
        <f>Education[[#This Row],[Male Population ]]+Education[[#This Row],[Female Population]]</f>
        <v>172708</v>
      </c>
      <c r="G7" s="7">
        <v>4291</v>
      </c>
      <c r="H7" s="7">
        <v>2678</v>
      </c>
      <c r="I7" s="7">
        <f>Education[[#This Row],[Population attending educational institution (Male)]]+Education[[#This Row],[Population attending educational institution (Female)]]</f>
        <v>6969</v>
      </c>
      <c r="J7" s="58">
        <f>Education[[#This Row],[Population attending educational institution (Male)]]/Education[[#This Row],[Male Population ]]</f>
        <v>3.7876915472071185E-2</v>
      </c>
      <c r="K7" s="58">
        <f>Education[[#This Row],[Population attending educational institution (Female)]]/Education[[#This Row],[Female Population]]</f>
        <v>4.5069000336587006E-2</v>
      </c>
      <c r="L7" s="58">
        <f>Education[[#This Row],[Total]] / Education[[#This Row],[Total Population]]</f>
        <v>4.0351344465803553E-2</v>
      </c>
      <c r="M7" s="56">
        <f>(Education[[#This Row],[Population attending educational institution (Male)]] / Education[[#This Row],[Male Population ]]) - (Education[[#This Row],[Population attending educational institution (Female)]] / Education[[#This Row],[Female Population]])</f>
        <v>-7.1920848645158214E-3</v>
      </c>
      <c r="N7" s="56">
        <f>Education[[#This Row],[Male Population ]] / Education[[#This Row],[Female Population]]</f>
        <v>1.9065634466509593</v>
      </c>
      <c r="O7" s="58">
        <f>Education[[#This Row],[Population attending educational institution (Male)]] / Education[[#This Row],[Total]]</f>
        <v>0.61572679007031139</v>
      </c>
      <c r="P7" s="58">
        <f>Education[[#This Row],[Population attending educational institution (Female)]] / Education[[#This Row],[Total]]</f>
        <v>0.38427320992968861</v>
      </c>
    </row>
    <row r="8" spans="1:16" x14ac:dyDescent="0.35">
      <c r="A8" s="2" t="s">
        <v>0</v>
      </c>
      <c r="B8" s="53" t="s">
        <v>2</v>
      </c>
      <c r="C8" s="54" t="s">
        <v>10</v>
      </c>
      <c r="D8" s="7">
        <v>100801</v>
      </c>
      <c r="E8" s="7">
        <v>50775</v>
      </c>
      <c r="F8" s="7">
        <f>Education[[#This Row],[Male Population ]]+Education[[#This Row],[Female Population]]</f>
        <v>151576</v>
      </c>
      <c r="G8" s="7">
        <v>1965</v>
      </c>
      <c r="H8" s="7">
        <v>1118</v>
      </c>
      <c r="I8" s="7">
        <f>Education[[#This Row],[Population attending educational institution (Male)]]+Education[[#This Row],[Population attending educational institution (Female)]]</f>
        <v>3083</v>
      </c>
      <c r="J8" s="58">
        <f>Education[[#This Row],[Population attending educational institution (Male)]]/Education[[#This Row],[Male Population ]]</f>
        <v>1.949385422763663E-2</v>
      </c>
      <c r="K8" s="58">
        <f>Education[[#This Row],[Population attending educational institution (Female)]]/Education[[#This Row],[Female Population]]</f>
        <v>2.2018709995076317E-2</v>
      </c>
      <c r="L8" s="58">
        <f>Education[[#This Row],[Total]] / Education[[#This Row],[Total Population]]</f>
        <v>2.0339631603947854E-2</v>
      </c>
      <c r="M8" s="56">
        <f>(Education[[#This Row],[Population attending educational institution (Male)]] / Education[[#This Row],[Male Population ]]) - (Education[[#This Row],[Population attending educational institution (Female)]] / Education[[#This Row],[Female Population]])</f>
        <v>-2.5248557674396876E-3</v>
      </c>
      <c r="N8" s="56">
        <f>Education[[#This Row],[Male Population ]] / Education[[#This Row],[Female Population]]</f>
        <v>1.9852486459871985</v>
      </c>
      <c r="O8" s="58">
        <f>Education[[#This Row],[Population attending educational institution (Male)]] / Education[[#This Row],[Total]]</f>
        <v>0.63736620175154068</v>
      </c>
      <c r="P8" s="58">
        <f>Education[[#This Row],[Population attending educational institution (Female)]] / Education[[#This Row],[Total]]</f>
        <v>0.36263379824845932</v>
      </c>
    </row>
    <row r="9" spans="1:16" x14ac:dyDescent="0.35">
      <c r="A9" s="2" t="s">
        <v>0</v>
      </c>
      <c r="B9" s="53" t="s">
        <v>2</v>
      </c>
      <c r="C9" s="54" t="s">
        <v>11</v>
      </c>
      <c r="D9" s="7">
        <v>326555</v>
      </c>
      <c r="E9" s="7">
        <v>172569</v>
      </c>
      <c r="F9" s="7">
        <f>Education[[#This Row],[Male Population ]]+Education[[#This Row],[Female Population]]</f>
        <v>499124</v>
      </c>
      <c r="G9" s="7">
        <v>4918</v>
      </c>
      <c r="H9" s="7">
        <v>2761</v>
      </c>
      <c r="I9" s="7">
        <f>Education[[#This Row],[Population attending educational institution (Male)]]+Education[[#This Row],[Population attending educational institution (Female)]]</f>
        <v>7679</v>
      </c>
      <c r="J9" s="58">
        <f>Education[[#This Row],[Population attending educational institution (Male)]]/Education[[#This Row],[Male Population ]]</f>
        <v>1.5060250187564116E-2</v>
      </c>
      <c r="K9" s="58">
        <f>Education[[#This Row],[Population attending educational institution (Female)]]/Education[[#This Row],[Female Population]]</f>
        <v>1.5999397342512271E-2</v>
      </c>
      <c r="L9" s="58">
        <f>Education[[#This Row],[Total]] / Education[[#This Row],[Total Population]]</f>
        <v>1.5384954440179194E-2</v>
      </c>
      <c r="M9" s="56">
        <f>(Education[[#This Row],[Population attending educational institution (Male)]] / Education[[#This Row],[Male Population ]]) - (Education[[#This Row],[Population attending educational institution (Female)]] / Education[[#This Row],[Female Population]])</f>
        <v>-9.3914715494815455E-4</v>
      </c>
      <c r="N9" s="56">
        <f>Education[[#This Row],[Male Population ]] / Education[[#This Row],[Female Population]]</f>
        <v>1.8923155375530947</v>
      </c>
      <c r="O9" s="58">
        <f>Education[[#This Row],[Population attending educational institution (Male)]] / Education[[#This Row],[Total]]</f>
        <v>0.64044797499674433</v>
      </c>
      <c r="P9" s="58">
        <f>Education[[#This Row],[Population attending educational institution (Female)]] / Education[[#This Row],[Total]]</f>
        <v>0.35955202500325562</v>
      </c>
    </row>
    <row r="10" spans="1:16" x14ac:dyDescent="0.35">
      <c r="A10" s="2" t="s">
        <v>0</v>
      </c>
      <c r="B10" s="53" t="s">
        <v>2</v>
      </c>
      <c r="C10" s="54" t="s">
        <v>12</v>
      </c>
      <c r="D10" s="7">
        <v>128194</v>
      </c>
      <c r="E10" s="7">
        <v>64763</v>
      </c>
      <c r="F10" s="7">
        <f>Education[[#This Row],[Male Population ]]+Education[[#This Row],[Female Population]]</f>
        <v>192957</v>
      </c>
      <c r="G10" s="7">
        <v>2160</v>
      </c>
      <c r="H10" s="7">
        <v>1111</v>
      </c>
      <c r="I10" s="7">
        <f>Education[[#This Row],[Population attending educational institution (Male)]]+Education[[#This Row],[Population attending educational institution (Female)]]</f>
        <v>3271</v>
      </c>
      <c r="J10" s="58">
        <f>Education[[#This Row],[Population attending educational institution (Male)]]/Education[[#This Row],[Male Population ]]</f>
        <v>1.6849462533347896E-2</v>
      </c>
      <c r="K10" s="58">
        <f>Education[[#This Row],[Population attending educational institution (Female)]]/Education[[#This Row],[Female Population]]</f>
        <v>1.7154856939919399E-2</v>
      </c>
      <c r="L10" s="58">
        <f>Education[[#This Row],[Total]] / Education[[#This Row],[Total Population]]</f>
        <v>1.6951963390807279E-2</v>
      </c>
      <c r="M10" s="56">
        <f>(Education[[#This Row],[Population attending educational institution (Male)]] / Education[[#This Row],[Male Population ]]) - (Education[[#This Row],[Population attending educational institution (Female)]] / Education[[#This Row],[Female Population]])</f>
        <v>-3.0539440657150266E-4</v>
      </c>
      <c r="N10" s="56">
        <f>Education[[#This Row],[Male Population ]] / Education[[#This Row],[Female Population]]</f>
        <v>1.9794327007705017</v>
      </c>
      <c r="O10" s="58">
        <f>Education[[#This Row],[Population attending educational institution (Male)]] / Education[[#This Row],[Total]]</f>
        <v>0.66034851727300514</v>
      </c>
      <c r="P10" s="58">
        <f>Education[[#This Row],[Population attending educational institution (Female)]] / Education[[#This Row],[Total]]</f>
        <v>0.3396514827269948</v>
      </c>
    </row>
    <row r="11" spans="1:16" x14ac:dyDescent="0.35">
      <c r="A11" s="2" t="s">
        <v>0</v>
      </c>
      <c r="B11" s="53" t="s">
        <v>3</v>
      </c>
      <c r="C11" s="54" t="s">
        <v>14</v>
      </c>
      <c r="D11" s="7">
        <v>774799</v>
      </c>
      <c r="E11" s="7">
        <v>407176</v>
      </c>
      <c r="F11" s="7">
        <f>Education[[#This Row],[Male Population ]]+Education[[#This Row],[Female Population]]</f>
        <v>1181975</v>
      </c>
      <c r="G11" s="7">
        <v>451726</v>
      </c>
      <c r="H11" s="7">
        <v>237001</v>
      </c>
      <c r="I11" s="7">
        <f>Education[[#This Row],[Population attending educational institution (Male)]]+Education[[#This Row],[Population attending educational institution (Female)]]</f>
        <v>688727</v>
      </c>
      <c r="J11" s="58">
        <f>Education[[#This Row],[Population attending educational institution (Male)]]/Education[[#This Row],[Male Population ]]</f>
        <v>0.58302346802202898</v>
      </c>
      <c r="K11" s="58">
        <f>Education[[#This Row],[Population attending educational institution (Female)]]/Education[[#This Row],[Female Population]]</f>
        <v>0.58206033754445252</v>
      </c>
      <c r="L11" s="58">
        <f>Education[[#This Row],[Total]] / Education[[#This Row],[Total Population]]</f>
        <v>0.58269168129613569</v>
      </c>
      <c r="M11" s="56">
        <f>(Education[[#This Row],[Population attending educational institution (Male)]] / Education[[#This Row],[Male Population ]]) - (Education[[#This Row],[Population attending educational institution (Female)]] / Education[[#This Row],[Female Population]])</f>
        <v>9.6313047757645709E-4</v>
      </c>
      <c r="N11" s="56">
        <f>Education[[#This Row],[Male Population ]] / Education[[#This Row],[Female Population]]</f>
        <v>1.9028601882232745</v>
      </c>
      <c r="O11" s="58">
        <f>Education[[#This Row],[Population attending educational institution (Male)]] / Education[[#This Row],[Total]]</f>
        <v>0.655885423397079</v>
      </c>
      <c r="P11" s="58">
        <f>Education[[#This Row],[Population attending educational institution (Female)]] / Education[[#This Row],[Total]]</f>
        <v>0.34411457660292105</v>
      </c>
    </row>
    <row r="12" spans="1:16" x14ac:dyDescent="0.35">
      <c r="A12" s="2" t="s">
        <v>0</v>
      </c>
      <c r="B12" s="53" t="s">
        <v>3</v>
      </c>
      <c r="C12" s="54" t="s">
        <v>7</v>
      </c>
      <c r="D12" s="7">
        <v>329193</v>
      </c>
      <c r="E12" s="7">
        <v>175565</v>
      </c>
      <c r="F12" s="7">
        <f>Education[[#This Row],[Male Population ]]+Education[[#This Row],[Female Population]]</f>
        <v>504758</v>
      </c>
      <c r="G12" s="7">
        <v>230488</v>
      </c>
      <c r="H12" s="7">
        <v>120383</v>
      </c>
      <c r="I12" s="7">
        <f>Education[[#This Row],[Population attending educational institution (Male)]]+Education[[#This Row],[Population attending educational institution (Female)]]</f>
        <v>350871</v>
      </c>
      <c r="J12" s="58">
        <f>Education[[#This Row],[Population attending educational institution (Male)]]/Education[[#This Row],[Male Population ]]</f>
        <v>0.70016069600507913</v>
      </c>
      <c r="K12" s="58">
        <f>Education[[#This Row],[Population attending educational institution (Female)]]/Education[[#This Row],[Female Population]]</f>
        <v>0.68568906103152683</v>
      </c>
      <c r="L12" s="58">
        <f>Education[[#This Row],[Total]] / Education[[#This Row],[Total Population]]</f>
        <v>0.69512716985169132</v>
      </c>
      <c r="M12" s="56">
        <f>(Education[[#This Row],[Population attending educational institution (Male)]] / Education[[#This Row],[Male Population ]]) - (Education[[#This Row],[Population attending educational institution (Female)]] / Education[[#This Row],[Female Population]])</f>
        <v>1.4471634973552305E-2</v>
      </c>
      <c r="N12" s="56">
        <f>Education[[#This Row],[Male Population ]] / Education[[#This Row],[Female Population]]</f>
        <v>1.8750491271039216</v>
      </c>
      <c r="O12" s="58">
        <f>Education[[#This Row],[Population attending educational institution (Male)]] / Education[[#This Row],[Total]]</f>
        <v>0.65690239432725983</v>
      </c>
      <c r="P12" s="58">
        <f>Education[[#This Row],[Population attending educational institution (Female)]] / Education[[#This Row],[Total]]</f>
        <v>0.34309760567274011</v>
      </c>
    </row>
    <row r="13" spans="1:16" x14ac:dyDescent="0.35">
      <c r="A13" s="2" t="s">
        <v>0</v>
      </c>
      <c r="B13" s="53" t="s">
        <v>3</v>
      </c>
      <c r="C13" s="54" t="s">
        <v>8</v>
      </c>
      <c r="D13" s="7">
        <v>318712</v>
      </c>
      <c r="E13" s="7">
        <v>167547</v>
      </c>
      <c r="F13" s="7">
        <f>Education[[#This Row],[Male Population ]]+Education[[#This Row],[Female Population]]</f>
        <v>486259</v>
      </c>
      <c r="G13" s="7">
        <v>141856</v>
      </c>
      <c r="H13" s="7">
        <v>76353</v>
      </c>
      <c r="I13" s="7">
        <f>Education[[#This Row],[Population attending educational institution (Male)]]+Education[[#This Row],[Population attending educational institution (Female)]]</f>
        <v>218209</v>
      </c>
      <c r="J13" s="58">
        <f>Education[[#This Row],[Population attending educational institution (Male)]]/Education[[#This Row],[Male Population ]]</f>
        <v>0.44509149326037301</v>
      </c>
      <c r="K13" s="58">
        <f>Education[[#This Row],[Population attending educational institution (Female)]]/Education[[#This Row],[Female Population]]</f>
        <v>0.45571093484216368</v>
      </c>
      <c r="L13" s="58">
        <f>Education[[#This Row],[Total]] / Education[[#This Row],[Total Population]]</f>
        <v>0.44875056297158511</v>
      </c>
      <c r="M13" s="56">
        <f>(Education[[#This Row],[Population attending educational institution (Male)]] / Education[[#This Row],[Male Population ]]) - (Education[[#This Row],[Population attending educational institution (Female)]] / Education[[#This Row],[Female Population]])</f>
        <v>-1.0619441581790678E-2</v>
      </c>
      <c r="N13" s="56">
        <f>Education[[#This Row],[Male Population ]] / Education[[#This Row],[Female Population]]</f>
        <v>1.9022244504527088</v>
      </c>
      <c r="O13" s="58">
        <f>Education[[#This Row],[Population attending educational institution (Male)]] / Education[[#This Row],[Total]]</f>
        <v>0.65009234266230997</v>
      </c>
      <c r="P13" s="58">
        <f>Education[[#This Row],[Population attending educational institution (Female)]] / Education[[#This Row],[Total]]</f>
        <v>0.34990765733769003</v>
      </c>
    </row>
    <row r="14" spans="1:16" x14ac:dyDescent="0.35">
      <c r="A14" s="2" t="s">
        <v>0</v>
      </c>
      <c r="B14" s="53" t="s">
        <v>3</v>
      </c>
      <c r="C14" s="54" t="s">
        <v>9</v>
      </c>
      <c r="D14" s="7">
        <v>275635</v>
      </c>
      <c r="E14" s="7">
        <v>138307</v>
      </c>
      <c r="F14" s="7">
        <f>Education[[#This Row],[Male Population ]]+Education[[#This Row],[Female Population]]</f>
        <v>413942</v>
      </c>
      <c r="G14" s="7">
        <v>37109</v>
      </c>
      <c r="H14" s="7">
        <v>20017</v>
      </c>
      <c r="I14" s="7">
        <f>Education[[#This Row],[Population attending educational institution (Male)]]+Education[[#This Row],[Population attending educational institution (Female)]]</f>
        <v>57126</v>
      </c>
      <c r="J14" s="58">
        <f>Education[[#This Row],[Population attending educational institution (Male)]]/Education[[#This Row],[Male Population ]]</f>
        <v>0.13463094309503509</v>
      </c>
      <c r="K14" s="58">
        <f>Education[[#This Row],[Population attending educational institution (Female)]]/Education[[#This Row],[Female Population]]</f>
        <v>0.14472875559443846</v>
      </c>
      <c r="L14" s="58">
        <f>Education[[#This Row],[Total]] / Education[[#This Row],[Total Population]]</f>
        <v>0.13800484125795401</v>
      </c>
      <c r="M14" s="56">
        <f>(Education[[#This Row],[Population attending educational institution (Male)]] / Education[[#This Row],[Male Population ]]) - (Education[[#This Row],[Population attending educational institution (Female)]] / Education[[#This Row],[Female Population]])</f>
        <v>-1.0097812499403364E-2</v>
      </c>
      <c r="N14" s="56">
        <f>Education[[#This Row],[Male Population ]] / Education[[#This Row],[Female Population]]</f>
        <v>1.9929215441011663</v>
      </c>
      <c r="O14" s="58">
        <f>Education[[#This Row],[Population attending educational institution (Male)]] / Education[[#This Row],[Total]]</f>
        <v>0.64959913174386441</v>
      </c>
      <c r="P14" s="58">
        <f>Education[[#This Row],[Population attending educational institution (Female)]] / Education[[#This Row],[Total]]</f>
        <v>0.35040086825613553</v>
      </c>
    </row>
    <row r="15" spans="1:16" x14ac:dyDescent="0.35">
      <c r="A15" s="2" t="s">
        <v>0</v>
      </c>
      <c r="B15" s="53" t="s">
        <v>3</v>
      </c>
      <c r="C15" s="54" t="s">
        <v>10</v>
      </c>
      <c r="D15" s="7">
        <v>230659</v>
      </c>
      <c r="E15" s="7">
        <v>116500</v>
      </c>
      <c r="F15" s="7">
        <f>Education[[#This Row],[Male Population ]]+Education[[#This Row],[Female Population]]</f>
        <v>347159</v>
      </c>
      <c r="G15" s="7">
        <v>15964</v>
      </c>
      <c r="H15" s="7">
        <v>8621</v>
      </c>
      <c r="I15" s="7">
        <f>Education[[#This Row],[Population attending educational institution (Male)]]+Education[[#This Row],[Population attending educational institution (Female)]]</f>
        <v>24585</v>
      </c>
      <c r="J15" s="58">
        <f>Education[[#This Row],[Population attending educational institution (Male)]]/Education[[#This Row],[Male Population ]]</f>
        <v>6.9210392830975589E-2</v>
      </c>
      <c r="K15" s="58">
        <f>Education[[#This Row],[Population attending educational institution (Female)]]/Education[[#This Row],[Female Population]]</f>
        <v>7.3999999999999996E-2</v>
      </c>
      <c r="L15" s="58">
        <f>Education[[#This Row],[Total]] / Education[[#This Row],[Total Population]]</f>
        <v>7.0817694485811974E-2</v>
      </c>
      <c r="M15" s="56">
        <f>(Education[[#This Row],[Population attending educational institution (Male)]] / Education[[#This Row],[Male Population ]]) - (Education[[#This Row],[Population attending educational institution (Female)]] / Education[[#This Row],[Female Population]])</f>
        <v>-4.7896071690244069E-3</v>
      </c>
      <c r="N15" s="56">
        <f>Education[[#This Row],[Male Population ]] / Education[[#This Row],[Female Population]]</f>
        <v>1.9799055793991416</v>
      </c>
      <c r="O15" s="58">
        <f>Education[[#This Row],[Population attending educational institution (Male)]] / Education[[#This Row],[Total]]</f>
        <v>0.64933902786251785</v>
      </c>
      <c r="P15" s="58">
        <f>Education[[#This Row],[Population attending educational institution (Female)]] / Education[[#This Row],[Total]]</f>
        <v>0.35066097213748221</v>
      </c>
    </row>
    <row r="16" spans="1:16" x14ac:dyDescent="0.35">
      <c r="A16" s="2" t="s">
        <v>0</v>
      </c>
      <c r="B16" s="53" t="s">
        <v>3</v>
      </c>
      <c r="C16" s="54" t="s">
        <v>11</v>
      </c>
      <c r="D16" s="7">
        <v>829543</v>
      </c>
      <c r="E16" s="7">
        <v>428788</v>
      </c>
      <c r="F16" s="7">
        <f>Education[[#This Row],[Male Population ]]+Education[[#This Row],[Female Population]]</f>
        <v>1258331</v>
      </c>
      <c r="G16" s="7">
        <v>39151</v>
      </c>
      <c r="H16" s="7">
        <v>22206</v>
      </c>
      <c r="I16" s="7">
        <f>Education[[#This Row],[Population attending educational institution (Male)]]+Education[[#This Row],[Population attending educational institution (Female)]]</f>
        <v>61357</v>
      </c>
      <c r="J16" s="58">
        <f>Education[[#This Row],[Population attending educational institution (Male)]]/Education[[#This Row],[Male Population ]]</f>
        <v>4.719586567543816E-2</v>
      </c>
      <c r="K16" s="58">
        <f>Education[[#This Row],[Population attending educational institution (Female)]]/Education[[#This Row],[Female Population]]</f>
        <v>5.1787829883298976E-2</v>
      </c>
      <c r="L16" s="58">
        <f>Education[[#This Row],[Total]] / Education[[#This Row],[Total Population]]</f>
        <v>4.8760620218368619E-2</v>
      </c>
      <c r="M16" s="56">
        <f>(Education[[#This Row],[Population attending educational institution (Male)]] / Education[[#This Row],[Male Population ]]) - (Education[[#This Row],[Population attending educational institution (Female)]] / Education[[#This Row],[Female Population]])</f>
        <v>-4.5919642078608158E-3</v>
      </c>
      <c r="N16" s="56">
        <f>Education[[#This Row],[Male Population ]] / Education[[#This Row],[Female Population]]</f>
        <v>1.9346227039935819</v>
      </c>
      <c r="O16" s="58">
        <f>Education[[#This Row],[Population attending educational institution (Male)]] / Education[[#This Row],[Total]]</f>
        <v>0.63808530404028885</v>
      </c>
      <c r="P16" s="58">
        <f>Education[[#This Row],[Population attending educational institution (Female)]] / Education[[#This Row],[Total]]</f>
        <v>0.36191469595971121</v>
      </c>
    </row>
    <row r="17" spans="1:16" x14ac:dyDescent="0.35">
      <c r="A17" s="2" t="s">
        <v>0</v>
      </c>
      <c r="B17" s="53" t="s">
        <v>3</v>
      </c>
      <c r="C17" s="54" t="s">
        <v>12</v>
      </c>
      <c r="D17" s="7">
        <v>231192</v>
      </c>
      <c r="E17" s="7">
        <v>121247</v>
      </c>
      <c r="F17" s="7">
        <f>Education[[#This Row],[Male Population ]]+Education[[#This Row],[Female Population]]</f>
        <v>352439</v>
      </c>
      <c r="G17" s="7">
        <v>11087</v>
      </c>
      <c r="H17" s="7">
        <v>6822</v>
      </c>
      <c r="I17" s="7">
        <f>Education[[#This Row],[Population attending educational institution (Male)]]+Education[[#This Row],[Population attending educational institution (Female)]]</f>
        <v>17909</v>
      </c>
      <c r="J17" s="59">
        <f>Education[[#This Row],[Population attending educational institution (Male)]]/Education[[#This Row],[Male Population ]]</f>
        <v>4.7955811619779229E-2</v>
      </c>
      <c r="K17" s="59">
        <f>Education[[#This Row],[Population attending educational institution (Female)]]/Education[[#This Row],[Female Population]]</f>
        <v>5.6265309657146156E-2</v>
      </c>
      <c r="L17" s="58">
        <f>Education[[#This Row],[Total]] / Education[[#This Row],[Total Population]]</f>
        <v>5.0814467184392191E-2</v>
      </c>
      <c r="M17" s="56">
        <f>(Education[[#This Row],[Population attending educational institution (Male)]] / Education[[#This Row],[Male Population ]]) - (Education[[#This Row],[Population attending educational institution (Female)]] / Education[[#This Row],[Female Population]])</f>
        <v>-8.3094980373669275E-3</v>
      </c>
      <c r="N17" s="56">
        <f>Education[[#This Row],[Male Population ]] / Education[[#This Row],[Female Population]]</f>
        <v>1.9067853225234439</v>
      </c>
      <c r="O17" s="58">
        <f>Education[[#This Row],[Population attending educational institution (Male)]] / Education[[#This Row],[Total]]</f>
        <v>0.61907420849852035</v>
      </c>
      <c r="P17" s="58">
        <f>Education[[#This Row],[Population attending educational institution (Female)]] / Education[[#This Row],[Total]]</f>
        <v>0.3809257915014797</v>
      </c>
    </row>
    <row r="21" spans="1:16" x14ac:dyDescent="0.35">
      <c r="A21" s="86" t="s">
        <v>111</v>
      </c>
      <c r="B21" s="86"/>
      <c r="C21" s="86"/>
      <c r="D21" s="46">
        <f>SUMIFS(Education[Total], Education[Urban/ Rural], "Urban") / SUM(Education[Total])</f>
        <v>0.67265207973112573</v>
      </c>
    </row>
    <row r="22" spans="1:16" x14ac:dyDescent="0.35">
      <c r="A22" s="86" t="s">
        <v>112</v>
      </c>
      <c r="B22" s="86"/>
      <c r="C22" s="86"/>
      <c r="D22" s="46">
        <f>SUMIFS(Education[Total], Education[Urban/ Rural], "Rural") / SUM(Education[Total])</f>
        <v>0.32734792026887422</v>
      </c>
    </row>
    <row r="25" spans="1:16" x14ac:dyDescent="0.35">
      <c r="A25" s="37" t="s">
        <v>85</v>
      </c>
      <c r="B25" t="s">
        <v>113</v>
      </c>
      <c r="C25" t="s">
        <v>114</v>
      </c>
      <c r="F25" s="37" t="s">
        <v>85</v>
      </c>
      <c r="G25" t="s">
        <v>117</v>
      </c>
      <c r="I25" s="37" t="s">
        <v>85</v>
      </c>
      <c r="J25" t="s">
        <v>116</v>
      </c>
      <c r="K25" t="s">
        <v>115</v>
      </c>
    </row>
    <row r="26" spans="1:16" x14ac:dyDescent="0.35">
      <c r="A26" s="38" t="s">
        <v>7</v>
      </c>
      <c r="B26">
        <v>517301</v>
      </c>
      <c r="C26">
        <v>276360</v>
      </c>
      <c r="F26" s="38" t="s">
        <v>2</v>
      </c>
      <c r="G26">
        <v>690455</v>
      </c>
      <c r="I26" s="38" t="s">
        <v>7</v>
      </c>
      <c r="J26" s="60">
        <v>1.2340297525340815</v>
      </c>
      <c r="K26" s="60">
        <v>1.2506370181179078</v>
      </c>
    </row>
    <row r="27" spans="1:16" x14ac:dyDescent="0.35">
      <c r="A27" s="38" t="s">
        <v>8</v>
      </c>
      <c r="B27">
        <v>457020</v>
      </c>
      <c r="C27">
        <v>244128</v>
      </c>
      <c r="F27" s="38" t="s">
        <v>3</v>
      </c>
      <c r="G27">
        <v>1418784</v>
      </c>
      <c r="I27" s="38" t="s">
        <v>8</v>
      </c>
      <c r="J27" s="60">
        <v>0.71278514384961977</v>
      </c>
      <c r="K27" s="60">
        <v>0.67770999688995337</v>
      </c>
    </row>
    <row r="28" spans="1:16" x14ac:dyDescent="0.35">
      <c r="A28" s="38" t="s">
        <v>9</v>
      </c>
      <c r="B28">
        <v>388923</v>
      </c>
      <c r="C28">
        <v>197727</v>
      </c>
      <c r="I28" s="38" t="s">
        <v>9</v>
      </c>
      <c r="J28" s="60">
        <v>0.18979775593102546</v>
      </c>
      <c r="K28" s="60">
        <v>0.17250785856710626</v>
      </c>
    </row>
    <row r="29" spans="1:16" x14ac:dyDescent="0.35">
      <c r="A29" s="38" t="s">
        <v>10</v>
      </c>
      <c r="B29">
        <v>331460</v>
      </c>
      <c r="C29">
        <v>167275</v>
      </c>
      <c r="I29" s="38" t="s">
        <v>10</v>
      </c>
      <c r="J29" s="60">
        <v>9.6018709995076307E-2</v>
      </c>
      <c r="K29" s="60">
        <v>8.8704247058612212E-2</v>
      </c>
    </row>
    <row r="30" spans="1:16" x14ac:dyDescent="0.35">
      <c r="A30" s="38" t="s">
        <v>11</v>
      </c>
      <c r="B30">
        <v>1156098</v>
      </c>
      <c r="C30">
        <v>601357</v>
      </c>
      <c r="I30" s="38" t="s">
        <v>11</v>
      </c>
      <c r="J30" s="60">
        <v>6.778722722581125E-2</v>
      </c>
      <c r="K30" s="60">
        <v>6.2256115863002275E-2</v>
      </c>
    </row>
    <row r="31" spans="1:16" x14ac:dyDescent="0.35">
      <c r="A31" s="38" t="s">
        <v>12</v>
      </c>
      <c r="B31">
        <v>359386</v>
      </c>
      <c r="C31">
        <v>186010</v>
      </c>
      <c r="I31" s="38" t="s">
        <v>12</v>
      </c>
      <c r="J31" s="60">
        <v>7.3420166597065559E-2</v>
      </c>
      <c r="K31" s="60">
        <v>6.4805274153127118E-2</v>
      </c>
    </row>
    <row r="32" spans="1:16" x14ac:dyDescent="0.35">
      <c r="A32" s="38" t="s">
        <v>14</v>
      </c>
      <c r="B32">
        <v>1315045</v>
      </c>
      <c r="C32">
        <v>688105</v>
      </c>
      <c r="I32" s="38" t="s">
        <v>14</v>
      </c>
      <c r="J32" s="60">
        <v>1.1428603973460394</v>
      </c>
      <c r="K32" s="60">
        <v>1.1406009419875929</v>
      </c>
    </row>
    <row r="33" spans="1:3" x14ac:dyDescent="0.35">
      <c r="A33" s="38" t="s">
        <v>86</v>
      </c>
      <c r="B33">
        <v>4525233</v>
      </c>
      <c r="C33">
        <v>2360962</v>
      </c>
    </row>
  </sheetData>
  <mergeCells count="3">
    <mergeCell ref="A21:C21"/>
    <mergeCell ref="A1:P2"/>
    <mergeCell ref="A22:C22"/>
  </mergeCells>
  <conditionalFormatting sqref="M27">
    <cfRule type="colorScale" priority="1">
      <colorScale>
        <cfvo type="min"/>
        <cfvo type="percentile" val="50"/>
        <cfvo type="max"/>
        <color rgb="FF63BE7B"/>
        <color rgb="FFFFEB84"/>
        <color rgb="FFF8696B"/>
      </colorScale>
    </cfRule>
  </conditionalFormatting>
  <pageMargins left="0.7" right="0.7" top="0.75" bottom="0.75" header="0.3" footer="0.3"/>
  <drawing r:id="rId4"/>
  <tableParts count="1">
    <tablePart r:id="rId5"/>
  </tableParts>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AC772-BB8A-4581-8CF1-B57C24B2F503}">
  <dimension ref="A1:AA52"/>
  <sheetViews>
    <sheetView tabSelected="1" topLeftCell="F24" zoomScale="124" workbookViewId="0">
      <selection activeCell="F57" sqref="F57"/>
    </sheetView>
  </sheetViews>
  <sheetFormatPr defaultRowHeight="14.5" x14ac:dyDescent="0.35"/>
  <cols>
    <col min="1" max="1" width="10.08984375" bestFit="1" customWidth="1"/>
    <col min="2" max="2" width="13.1796875" customWidth="1"/>
    <col min="3" max="3" width="14.6328125" customWidth="1"/>
    <col min="4" max="4" width="21.36328125" customWidth="1"/>
    <col min="5" max="5" width="23.1796875" customWidth="1"/>
    <col min="6" max="6" width="18.08984375" bestFit="1" customWidth="1"/>
    <col min="7" max="7" width="35.54296875" bestFit="1" customWidth="1"/>
    <col min="8" max="8" width="37.1796875" bestFit="1" customWidth="1"/>
    <col min="9" max="9" width="39.08984375" bestFit="1" customWidth="1"/>
    <col min="10" max="10" width="34.7265625" bestFit="1" customWidth="1"/>
    <col min="11" max="11" width="39.08984375" bestFit="1" customWidth="1"/>
    <col min="12" max="12" width="33" bestFit="1" customWidth="1"/>
    <col min="13" max="13" width="28.7265625" bestFit="1" customWidth="1"/>
    <col min="14" max="14" width="9.81640625" bestFit="1" customWidth="1"/>
    <col min="15" max="15" width="10.90625" customWidth="1"/>
    <col min="16" max="17" width="12.90625" bestFit="1" customWidth="1"/>
    <col min="18" max="20" width="10.1796875" bestFit="1" customWidth="1"/>
    <col min="21" max="21" width="14.54296875" bestFit="1" customWidth="1"/>
    <col min="22" max="22" width="24.54296875" customWidth="1"/>
    <col min="23" max="23" width="26.36328125" customWidth="1"/>
    <col min="24" max="24" width="19.90625" customWidth="1"/>
    <col min="25" max="25" width="22" customWidth="1"/>
    <col min="26" max="26" width="23.81640625" customWidth="1"/>
    <col min="27" max="27" width="17.36328125" customWidth="1"/>
  </cols>
  <sheetData>
    <row r="1" spans="1:27" x14ac:dyDescent="0.35">
      <c r="A1" s="89" t="s">
        <v>44</v>
      </c>
      <c r="B1" s="89"/>
      <c r="C1" s="89"/>
      <c r="D1" s="89"/>
      <c r="E1" s="89"/>
      <c r="F1" s="89"/>
      <c r="G1" s="89"/>
      <c r="H1" s="89"/>
      <c r="I1" s="89"/>
      <c r="J1" s="89"/>
      <c r="K1" s="89"/>
      <c r="L1" s="89"/>
      <c r="M1" s="89"/>
      <c r="N1" s="89"/>
      <c r="O1" s="89"/>
      <c r="P1" s="89"/>
      <c r="Q1" s="89"/>
      <c r="R1" s="89"/>
      <c r="S1" s="89"/>
      <c r="T1" s="89"/>
      <c r="U1" s="89"/>
      <c r="V1" s="89"/>
      <c r="W1" s="89"/>
      <c r="X1" s="89"/>
      <c r="Y1" s="89"/>
      <c r="Z1" s="67"/>
      <c r="AA1" s="67"/>
    </row>
    <row r="2" spans="1:27" x14ac:dyDescent="0.35">
      <c r="A2" s="89"/>
      <c r="B2" s="89"/>
      <c r="C2" s="89"/>
      <c r="D2" s="89"/>
      <c r="E2" s="89"/>
      <c r="F2" s="89"/>
      <c r="G2" s="89"/>
      <c r="H2" s="89"/>
      <c r="I2" s="89"/>
      <c r="J2" s="89"/>
      <c r="K2" s="89"/>
      <c r="L2" s="89"/>
      <c r="M2" s="89"/>
      <c r="N2" s="89"/>
      <c r="O2" s="89"/>
      <c r="P2" s="89"/>
      <c r="Q2" s="89"/>
      <c r="R2" s="89"/>
      <c r="S2" s="89"/>
      <c r="T2" s="89"/>
      <c r="U2" s="89"/>
      <c r="V2" s="89"/>
      <c r="W2" s="89"/>
      <c r="X2" s="89"/>
      <c r="Y2" s="89"/>
      <c r="Z2" s="67"/>
      <c r="AA2" s="67"/>
    </row>
    <row r="3" spans="1:27" ht="43.5" customHeight="1" x14ac:dyDescent="0.35">
      <c r="A3" s="31" t="s">
        <v>71</v>
      </c>
      <c r="B3" s="24" t="s">
        <v>46</v>
      </c>
      <c r="C3" s="25" t="s">
        <v>45</v>
      </c>
      <c r="D3" s="25" t="s">
        <v>50</v>
      </c>
      <c r="E3" s="25" t="s">
        <v>51</v>
      </c>
      <c r="F3" s="25" t="s">
        <v>52</v>
      </c>
      <c r="G3" s="25" t="s">
        <v>53</v>
      </c>
      <c r="H3" s="25" t="s">
        <v>59</v>
      </c>
      <c r="I3" s="25" t="s">
        <v>60</v>
      </c>
      <c r="J3" s="25" t="s">
        <v>55</v>
      </c>
      <c r="K3" s="25" t="s">
        <v>61</v>
      </c>
      <c r="L3" s="25" t="s">
        <v>62</v>
      </c>
      <c r="M3" s="25" t="s">
        <v>56</v>
      </c>
      <c r="N3" s="25" t="s">
        <v>63</v>
      </c>
      <c r="O3" s="25" t="s">
        <v>64</v>
      </c>
      <c r="P3" s="26" t="s">
        <v>54</v>
      </c>
      <c r="Q3" s="25" t="s">
        <v>65</v>
      </c>
      <c r="R3" s="25" t="s">
        <v>66</v>
      </c>
      <c r="S3" s="25" t="s">
        <v>57</v>
      </c>
      <c r="T3" s="25" t="s">
        <v>67</v>
      </c>
      <c r="U3" s="25" t="s">
        <v>68</v>
      </c>
      <c r="V3" s="25" t="s">
        <v>58</v>
      </c>
      <c r="W3" s="25" t="s">
        <v>69</v>
      </c>
      <c r="X3" s="27" t="s">
        <v>70</v>
      </c>
      <c r="Y3" s="27" t="s">
        <v>35</v>
      </c>
    </row>
    <row r="4" spans="1:27" x14ac:dyDescent="0.35">
      <c r="A4" s="6" t="s">
        <v>0</v>
      </c>
      <c r="B4" s="22" t="s">
        <v>2</v>
      </c>
      <c r="C4" s="10" t="s">
        <v>29</v>
      </c>
      <c r="D4" s="9">
        <v>1358247</v>
      </c>
      <c r="E4" s="9">
        <v>714290</v>
      </c>
      <c r="F4" s="9">
        <f>SUM(Marital[[#This Row],[Total Hindu Male Population]:[Total Hindu Female Population]])</f>
        <v>2072537</v>
      </c>
      <c r="G4" s="9">
        <v>183601</v>
      </c>
      <c r="H4" s="9">
        <v>94972</v>
      </c>
      <c r="I4" s="9">
        <f t="shared" ref="I4:I17" si="0">SUM(G4:H4)</f>
        <v>278573</v>
      </c>
      <c r="J4" s="9">
        <v>2492</v>
      </c>
      <c r="K4" s="9">
        <v>1214</v>
      </c>
      <c r="L4" s="9">
        <f>SUM(Marital[[#This Row],[Total Christian Male Population]:[Total Christian Female Population]])</f>
        <v>3706</v>
      </c>
      <c r="M4" s="9">
        <v>1036</v>
      </c>
      <c r="N4" s="9">
        <v>560</v>
      </c>
      <c r="O4" s="9">
        <f>SUM(Marital[[#This Row],[Total  Sikh Male Population]:[Total  Sikh Female Population]])</f>
        <v>1596</v>
      </c>
      <c r="P4" s="9">
        <v>945</v>
      </c>
      <c r="Q4" s="9">
        <v>488</v>
      </c>
      <c r="R4" s="9">
        <f t="shared" ref="R4:R17" si="1">SUM(P4:Q4)</f>
        <v>1433</v>
      </c>
      <c r="S4" s="9">
        <v>190</v>
      </c>
      <c r="T4" s="9">
        <v>101</v>
      </c>
      <c r="U4" s="9">
        <f>SUM(Marital[[#This Row],[Tota Jain Male Population]:[Tota Jain Female Population]])</f>
        <v>291</v>
      </c>
      <c r="V4" s="9">
        <v>112</v>
      </c>
      <c r="W4" s="9">
        <v>56</v>
      </c>
      <c r="X4" s="23">
        <f>SUM(Marital[[#This Row],[Other Male Population]:[Other Female Population]])</f>
        <v>168</v>
      </c>
      <c r="Y4" s="68">
        <f t="shared" ref="Y4:Y17" si="2">SUM(F4,I4,L4,O4,R4,U4,X4)</f>
        <v>2358304</v>
      </c>
    </row>
    <row r="5" spans="1:27" x14ac:dyDescent="0.35">
      <c r="A5" s="6" t="s">
        <v>0</v>
      </c>
      <c r="B5" s="22" t="s">
        <v>2</v>
      </c>
      <c r="C5" s="10" t="s">
        <v>38</v>
      </c>
      <c r="D5" s="9">
        <v>716685</v>
      </c>
      <c r="E5" s="9">
        <v>403841</v>
      </c>
      <c r="F5" s="9">
        <f>SUM(Marital[[#This Row],[Total Hindu Male Population]:[Total Hindu Female Population]])</f>
        <v>1120526</v>
      </c>
      <c r="G5" s="9">
        <v>104930</v>
      </c>
      <c r="H5" s="9">
        <v>58004</v>
      </c>
      <c r="I5" s="9">
        <f t="shared" si="0"/>
        <v>162934</v>
      </c>
      <c r="J5" s="9">
        <v>1299</v>
      </c>
      <c r="K5" s="9">
        <v>668</v>
      </c>
      <c r="L5" s="9">
        <f>SUM(Marital[[#This Row],[Total Christian Male Population]:[Total Christian Female Population]])</f>
        <v>1967</v>
      </c>
      <c r="M5" s="9">
        <v>503</v>
      </c>
      <c r="N5" s="9">
        <v>288</v>
      </c>
      <c r="O5" s="9">
        <f>SUM(Marital[[#This Row],[Total  Sikh Male Population]:[Total  Sikh Female Population]])</f>
        <v>791</v>
      </c>
      <c r="P5" s="9">
        <v>519</v>
      </c>
      <c r="Q5" s="9">
        <v>284</v>
      </c>
      <c r="R5" s="9">
        <f t="shared" si="1"/>
        <v>803</v>
      </c>
      <c r="S5" s="9">
        <v>117</v>
      </c>
      <c r="T5" s="9">
        <v>64</v>
      </c>
      <c r="U5" s="9">
        <f>SUM(Marital[[#This Row],[Tota Jain Male Population]:[Tota Jain Female Population]])</f>
        <v>181</v>
      </c>
      <c r="V5" s="9">
        <v>68</v>
      </c>
      <c r="W5" s="9">
        <v>38</v>
      </c>
      <c r="X5" s="23">
        <f>SUM(Marital[[#This Row],[Other Male Population]:[Other Female Population]])</f>
        <v>106</v>
      </c>
      <c r="Y5" s="9">
        <f t="shared" si="2"/>
        <v>1287308</v>
      </c>
    </row>
    <row r="6" spans="1:27" x14ac:dyDescent="0.35">
      <c r="A6" s="6" t="s">
        <v>0</v>
      </c>
      <c r="B6" s="22" t="s">
        <v>2</v>
      </c>
      <c r="C6" s="10" t="s">
        <v>39</v>
      </c>
      <c r="D6" s="9">
        <v>579338</v>
      </c>
      <c r="E6" s="9">
        <v>287660</v>
      </c>
      <c r="F6" s="9">
        <f>SUM(Marital[[#This Row],[Total Hindu Male Population]:[Total Hindu Female Population]])</f>
        <v>866998</v>
      </c>
      <c r="G6" s="9">
        <v>72027</v>
      </c>
      <c r="H6" s="9">
        <v>35065</v>
      </c>
      <c r="I6" s="9">
        <f t="shared" si="0"/>
        <v>107092</v>
      </c>
      <c r="J6" s="9">
        <v>1062</v>
      </c>
      <c r="K6" s="9">
        <v>505</v>
      </c>
      <c r="L6" s="9">
        <f>SUM(Marital[[#This Row],[Total Christian Male Population]:[Total Christian Female Population]])</f>
        <v>1567</v>
      </c>
      <c r="M6" s="9">
        <v>480</v>
      </c>
      <c r="N6" s="9">
        <v>253</v>
      </c>
      <c r="O6" s="9">
        <f>SUM(Marital[[#This Row],[Total  Sikh Male Population]:[Total  Sikh Female Population]])</f>
        <v>733</v>
      </c>
      <c r="P6" s="9">
        <v>385</v>
      </c>
      <c r="Q6" s="9">
        <v>198</v>
      </c>
      <c r="R6" s="9">
        <f t="shared" si="1"/>
        <v>583</v>
      </c>
      <c r="S6" s="9">
        <v>67</v>
      </c>
      <c r="T6" s="9">
        <v>34</v>
      </c>
      <c r="U6" s="9">
        <f>SUM(Marital[[#This Row],[Tota Jain Male Population]:[Tota Jain Female Population]])</f>
        <v>101</v>
      </c>
      <c r="V6" s="9">
        <v>38</v>
      </c>
      <c r="W6" s="9">
        <v>17</v>
      </c>
      <c r="X6" s="23">
        <f>SUM(Marital[[#This Row],[Other Male Population]:[Other Female Population]])</f>
        <v>55</v>
      </c>
      <c r="Y6" s="9">
        <f t="shared" si="2"/>
        <v>977129</v>
      </c>
    </row>
    <row r="7" spans="1:27" x14ac:dyDescent="0.35">
      <c r="A7" s="6" t="s">
        <v>0</v>
      </c>
      <c r="B7" s="22" t="s">
        <v>2</v>
      </c>
      <c r="C7" s="10" t="s">
        <v>40</v>
      </c>
      <c r="D7" s="9">
        <v>57514</v>
      </c>
      <c r="E7" s="9">
        <v>19740</v>
      </c>
      <c r="F7" s="9">
        <f>SUM(Marital[[#This Row],[Total Hindu Male Population]:[Total Hindu Female Population]])</f>
        <v>77254</v>
      </c>
      <c r="G7" s="9">
        <v>6008</v>
      </c>
      <c r="H7" s="9">
        <v>1647</v>
      </c>
      <c r="I7" s="9">
        <f t="shared" si="0"/>
        <v>7655</v>
      </c>
      <c r="J7" s="9">
        <v>123</v>
      </c>
      <c r="K7" s="9">
        <v>35</v>
      </c>
      <c r="L7" s="9">
        <f>SUM(Marital[[#This Row],[Total Christian Male Population]:[Total Christian Female Population]])</f>
        <v>158</v>
      </c>
      <c r="M7" s="9">
        <v>48</v>
      </c>
      <c r="N7" s="9">
        <v>16</v>
      </c>
      <c r="O7" s="9">
        <f>SUM(Marital[[#This Row],[Total  Sikh Male Population]:[Total  Sikh Female Population]])</f>
        <v>64</v>
      </c>
      <c r="P7" s="9">
        <v>38</v>
      </c>
      <c r="Q7" s="9">
        <v>6</v>
      </c>
      <c r="R7" s="9">
        <f t="shared" si="1"/>
        <v>44</v>
      </c>
      <c r="S7" s="9">
        <v>6</v>
      </c>
      <c r="T7" s="9">
        <v>3</v>
      </c>
      <c r="U7" s="9">
        <f>SUM(Marital[[#This Row],[Tota Jain Male Population]:[Tota Jain Female Population]])</f>
        <v>9</v>
      </c>
      <c r="V7" s="9">
        <v>6</v>
      </c>
      <c r="W7" s="9">
        <v>1</v>
      </c>
      <c r="X7" s="23">
        <f>SUM(Marital[[#This Row],[Other Male Population]:[Other Female Population]])</f>
        <v>7</v>
      </c>
      <c r="Y7" s="9">
        <f t="shared" si="2"/>
        <v>85191</v>
      </c>
    </row>
    <row r="8" spans="1:27" x14ac:dyDescent="0.35">
      <c r="A8" s="6" t="s">
        <v>0</v>
      </c>
      <c r="B8" s="22" t="s">
        <v>2</v>
      </c>
      <c r="C8" s="10" t="s">
        <v>41</v>
      </c>
      <c r="D8" s="9">
        <v>3476</v>
      </c>
      <c r="E8" s="9">
        <v>2229</v>
      </c>
      <c r="F8" s="9">
        <f>SUM(Marital[[#This Row],[Total Hindu Male Population]:[Total Hindu Female Population]])</f>
        <v>5705</v>
      </c>
      <c r="G8" s="9">
        <v>347</v>
      </c>
      <c r="H8" s="9">
        <v>158</v>
      </c>
      <c r="I8" s="9">
        <f t="shared" si="0"/>
        <v>505</v>
      </c>
      <c r="J8" s="9">
        <v>5</v>
      </c>
      <c r="K8" s="9">
        <v>5</v>
      </c>
      <c r="L8" s="9">
        <f>SUM(Marital[[#This Row],[Total Christian Male Population]:[Total Christian Female Population]])</f>
        <v>10</v>
      </c>
      <c r="M8" s="9">
        <v>1</v>
      </c>
      <c r="N8" s="9">
        <v>1</v>
      </c>
      <c r="O8" s="9">
        <f>SUM(Marital[[#This Row],[Total  Sikh Male Population]:[Total  Sikh Female Population]])</f>
        <v>2</v>
      </c>
      <c r="P8" s="9">
        <v>2</v>
      </c>
      <c r="Q8" s="9">
        <v>0</v>
      </c>
      <c r="R8" s="9">
        <f t="shared" si="1"/>
        <v>2</v>
      </c>
      <c r="S8" s="9">
        <v>0</v>
      </c>
      <c r="T8" s="9">
        <v>0</v>
      </c>
      <c r="U8" s="9">
        <f>SUM(Marital[[#This Row],[Tota Jain Male Population]:[Tota Jain Female Population]])</f>
        <v>0</v>
      </c>
      <c r="V8" s="9">
        <v>0</v>
      </c>
      <c r="W8" s="9">
        <v>0</v>
      </c>
      <c r="X8" s="23">
        <f>SUM(Marital[[#This Row],[Other Male Population]:[Other Female Population]])</f>
        <v>0</v>
      </c>
      <c r="Y8" s="9">
        <f t="shared" si="2"/>
        <v>6224</v>
      </c>
    </row>
    <row r="9" spans="1:27" x14ac:dyDescent="0.35">
      <c r="A9" s="6" t="s">
        <v>0</v>
      </c>
      <c r="B9" s="22" t="s">
        <v>2</v>
      </c>
      <c r="C9" s="10" t="s">
        <v>42</v>
      </c>
      <c r="D9" s="9">
        <v>1234</v>
      </c>
      <c r="E9" s="9">
        <v>820</v>
      </c>
      <c r="F9" s="9">
        <f>SUM(Marital[[#This Row],[Total Hindu Male Population]:[Total Hindu Female Population]])</f>
        <v>2054</v>
      </c>
      <c r="G9" s="9">
        <v>289</v>
      </c>
      <c r="H9" s="9">
        <v>98</v>
      </c>
      <c r="I9" s="9">
        <f t="shared" si="0"/>
        <v>387</v>
      </c>
      <c r="J9" s="9">
        <v>3</v>
      </c>
      <c r="K9" s="9">
        <v>1</v>
      </c>
      <c r="L9" s="9">
        <f>SUM(Marital[[#This Row],[Total Christian Male Population]:[Total Christian Female Population]])</f>
        <v>4</v>
      </c>
      <c r="M9" s="9">
        <v>4</v>
      </c>
      <c r="N9" s="9">
        <v>2</v>
      </c>
      <c r="O9" s="9">
        <f>SUM(Marital[[#This Row],[Total  Sikh Male Population]:[Total  Sikh Female Population]])</f>
        <v>6</v>
      </c>
      <c r="P9" s="9">
        <v>1</v>
      </c>
      <c r="Q9" s="9">
        <v>0</v>
      </c>
      <c r="R9" s="9">
        <f t="shared" si="1"/>
        <v>1</v>
      </c>
      <c r="S9" s="9">
        <v>0</v>
      </c>
      <c r="T9" s="9">
        <v>0</v>
      </c>
      <c r="U9" s="9">
        <f>SUM(Marital[[#This Row],[Tota Jain Male Population]:[Tota Jain Female Population]])</f>
        <v>0</v>
      </c>
      <c r="V9" s="9">
        <v>0</v>
      </c>
      <c r="W9" s="9">
        <v>0</v>
      </c>
      <c r="X9" s="23">
        <f>SUM(Marital[[#This Row],[Other Male Population]:[Other Female Population]])</f>
        <v>0</v>
      </c>
      <c r="Y9" s="9">
        <f t="shared" si="2"/>
        <v>2452</v>
      </c>
    </row>
    <row r="10" spans="1:27" x14ac:dyDescent="0.35">
      <c r="A10" s="6" t="s">
        <v>0</v>
      </c>
      <c r="B10" s="22" t="s">
        <v>2</v>
      </c>
      <c r="C10" s="10" t="s">
        <v>43</v>
      </c>
      <c r="D10" s="9">
        <v>0</v>
      </c>
      <c r="E10" s="9">
        <v>0</v>
      </c>
      <c r="F10" s="9">
        <f>SUM(Marital[[#This Row],[Total Hindu Male Population]:[Total Hindu Female Population]])</f>
        <v>0</v>
      </c>
      <c r="G10" s="9">
        <v>0</v>
      </c>
      <c r="H10" s="9">
        <v>0</v>
      </c>
      <c r="I10" s="9">
        <f t="shared" si="0"/>
        <v>0</v>
      </c>
      <c r="J10" s="9">
        <v>0</v>
      </c>
      <c r="K10" s="9">
        <v>0</v>
      </c>
      <c r="L10" s="9">
        <f>SUM(Marital[[#This Row],[Total Christian Male Population]:[Total Christian Female Population]])</f>
        <v>0</v>
      </c>
      <c r="M10" s="9">
        <v>0</v>
      </c>
      <c r="N10" s="9">
        <v>0</v>
      </c>
      <c r="O10" s="9">
        <f>SUM(Marital[[#This Row],[Total  Sikh Male Population]:[Total  Sikh Female Population]])</f>
        <v>0</v>
      </c>
      <c r="P10" s="9">
        <v>0</v>
      </c>
      <c r="Q10" s="9">
        <v>0</v>
      </c>
      <c r="R10" s="9">
        <f t="shared" si="1"/>
        <v>0</v>
      </c>
      <c r="S10" s="9">
        <v>0</v>
      </c>
      <c r="T10" s="9">
        <v>0</v>
      </c>
      <c r="U10" s="9">
        <f>SUM(Marital[[#This Row],[Tota Jain Male Population]:[Tota Jain Female Population]])</f>
        <v>0</v>
      </c>
      <c r="V10" s="9">
        <v>0</v>
      </c>
      <c r="W10" s="9">
        <v>0</v>
      </c>
      <c r="X10" s="23">
        <f>SUM(Marital[[#This Row],[Other Male Population]:[Other Female Population]])</f>
        <v>0</v>
      </c>
      <c r="Y10" s="9">
        <f t="shared" si="2"/>
        <v>0</v>
      </c>
    </row>
    <row r="11" spans="1:27" x14ac:dyDescent="0.35">
      <c r="A11" s="6" t="s">
        <v>0</v>
      </c>
      <c r="B11" s="22" t="s">
        <v>3</v>
      </c>
      <c r="C11" s="10" t="s">
        <v>29</v>
      </c>
      <c r="D11" s="9">
        <v>2179540</v>
      </c>
      <c r="E11" s="9">
        <v>1140185</v>
      </c>
      <c r="F11" s="9">
        <f>SUM(Marital[[#This Row],[Total Hindu Male Population]:[Total Hindu Female Population]])</f>
        <v>3319725</v>
      </c>
      <c r="G11" s="9">
        <v>801469</v>
      </c>
      <c r="H11" s="9">
        <v>410956</v>
      </c>
      <c r="I11" s="9">
        <f t="shared" si="0"/>
        <v>1212425</v>
      </c>
      <c r="J11" s="9">
        <v>18001</v>
      </c>
      <c r="K11" s="9">
        <v>8865</v>
      </c>
      <c r="L11" s="9">
        <f>SUM(Marital[[#This Row],[Total Christian Male Population]:[Total Christian Female Population]])</f>
        <v>26866</v>
      </c>
      <c r="M11" s="9">
        <v>22847</v>
      </c>
      <c r="N11" s="9">
        <v>12013</v>
      </c>
      <c r="O11" s="9">
        <f>SUM(Marital[[#This Row],[Total  Sikh Male Population]:[Total  Sikh Female Population]])</f>
        <v>34860</v>
      </c>
      <c r="P11" s="9">
        <v>2932</v>
      </c>
      <c r="Q11" s="9">
        <v>1588</v>
      </c>
      <c r="R11" s="9">
        <f t="shared" si="1"/>
        <v>4520</v>
      </c>
      <c r="S11" s="9">
        <v>4785</v>
      </c>
      <c r="T11" s="9">
        <v>2407</v>
      </c>
      <c r="U11" s="9">
        <f>SUM(Marital[[#This Row],[Tota Jain Male Population]:[Tota Jain Female Population]])</f>
        <v>7192</v>
      </c>
      <c r="V11" s="9">
        <v>392</v>
      </c>
      <c r="W11" s="9">
        <v>195</v>
      </c>
      <c r="X11" s="23">
        <f>SUM(Marital[[#This Row],[Other Male Population]:[Other Female Population]])</f>
        <v>587</v>
      </c>
      <c r="Y11" s="9">
        <f t="shared" si="2"/>
        <v>4606175</v>
      </c>
    </row>
    <row r="12" spans="1:27" x14ac:dyDescent="0.35">
      <c r="A12" s="6" t="s">
        <v>0</v>
      </c>
      <c r="B12" s="22" t="s">
        <v>3</v>
      </c>
      <c r="C12" s="10" t="s">
        <v>38</v>
      </c>
      <c r="D12" s="9">
        <v>1026278</v>
      </c>
      <c r="E12" s="9">
        <v>585462</v>
      </c>
      <c r="F12" s="9">
        <f>SUM(Marital[[#This Row],[Total Hindu Male Population]:[Total Hindu Female Population]])</f>
        <v>1611740</v>
      </c>
      <c r="G12" s="9">
        <v>434454</v>
      </c>
      <c r="H12" s="9">
        <v>241321</v>
      </c>
      <c r="I12" s="9">
        <f t="shared" si="0"/>
        <v>675775</v>
      </c>
      <c r="J12" s="9">
        <v>8164</v>
      </c>
      <c r="K12" s="9">
        <v>4382</v>
      </c>
      <c r="L12" s="9">
        <f>SUM(Marital[[#This Row],[Total Christian Male Population]:[Total Christian Female Population]])</f>
        <v>12546</v>
      </c>
      <c r="M12" s="9">
        <v>8990</v>
      </c>
      <c r="N12" s="9">
        <v>5240</v>
      </c>
      <c r="O12" s="9">
        <f>SUM(Marital[[#This Row],[Total  Sikh Male Population]:[Total  Sikh Female Population]])</f>
        <v>14230</v>
      </c>
      <c r="P12" s="9">
        <v>1454</v>
      </c>
      <c r="Q12" s="9">
        <v>856</v>
      </c>
      <c r="R12" s="9">
        <f t="shared" si="1"/>
        <v>2310</v>
      </c>
      <c r="S12" s="9">
        <v>1886</v>
      </c>
      <c r="T12" s="9">
        <v>1042</v>
      </c>
      <c r="U12" s="9">
        <f>SUM(Marital[[#This Row],[Tota Jain Male Population]:[Tota Jain Female Population]])</f>
        <v>2928</v>
      </c>
      <c r="V12" s="9">
        <v>145</v>
      </c>
      <c r="W12" s="9">
        <v>80</v>
      </c>
      <c r="X12" s="23">
        <f>SUM(Marital[[#This Row],[Other Male Population]:[Other Female Population]])</f>
        <v>225</v>
      </c>
      <c r="Y12" s="9">
        <f t="shared" si="2"/>
        <v>2319754</v>
      </c>
    </row>
    <row r="13" spans="1:27" x14ac:dyDescent="0.35">
      <c r="A13" s="6" t="s">
        <v>0</v>
      </c>
      <c r="B13" s="22" t="s">
        <v>3</v>
      </c>
      <c r="C13" s="10" t="s">
        <v>39</v>
      </c>
      <c r="D13" s="9">
        <v>1062139</v>
      </c>
      <c r="E13" s="9">
        <v>527976</v>
      </c>
      <c r="F13" s="9">
        <f>SUM(Marital[[#This Row],[Total Hindu Male Population]:[Total Hindu Female Population]])</f>
        <v>1590115</v>
      </c>
      <c r="G13" s="9">
        <v>334686</v>
      </c>
      <c r="H13" s="9">
        <v>162076</v>
      </c>
      <c r="I13" s="9">
        <f t="shared" si="0"/>
        <v>496762</v>
      </c>
      <c r="J13" s="9">
        <v>8791</v>
      </c>
      <c r="K13" s="9">
        <v>4233</v>
      </c>
      <c r="L13" s="9">
        <f>SUM(Marital[[#This Row],[Total Christian Male Population]:[Total Christian Female Population]])</f>
        <v>13024</v>
      </c>
      <c r="M13" s="9">
        <v>12525</v>
      </c>
      <c r="N13" s="9">
        <v>6373</v>
      </c>
      <c r="O13" s="9">
        <f>SUM(Marital[[#This Row],[Total  Sikh Male Population]:[Total  Sikh Female Population]])</f>
        <v>18898</v>
      </c>
      <c r="P13" s="9">
        <v>1389</v>
      </c>
      <c r="Q13" s="9">
        <v>699</v>
      </c>
      <c r="R13" s="9">
        <f t="shared" si="1"/>
        <v>2088</v>
      </c>
      <c r="S13" s="9">
        <v>2651</v>
      </c>
      <c r="T13" s="9">
        <v>1298</v>
      </c>
      <c r="U13" s="9">
        <f>SUM(Marital[[#This Row],[Tota Jain Male Population]:[Tota Jain Female Population]])</f>
        <v>3949</v>
      </c>
      <c r="V13" s="9">
        <v>220</v>
      </c>
      <c r="W13" s="9">
        <v>105</v>
      </c>
      <c r="X13" s="23">
        <f>SUM(Marital[[#This Row],[Other Male Population]:[Other Female Population]])</f>
        <v>325</v>
      </c>
      <c r="Y13" s="9">
        <f t="shared" si="2"/>
        <v>2125161</v>
      </c>
    </row>
    <row r="14" spans="1:27" x14ac:dyDescent="0.35">
      <c r="A14" s="6" t="s">
        <v>0</v>
      </c>
      <c r="B14" s="22" t="s">
        <v>3</v>
      </c>
      <c r="C14" s="10" t="s">
        <v>40</v>
      </c>
      <c r="D14" s="9">
        <v>85759</v>
      </c>
      <c r="E14" s="9">
        <v>24448</v>
      </c>
      <c r="F14" s="9">
        <f>SUM(Marital[[#This Row],[Total Hindu Male Population]:[Total Hindu Female Population]])</f>
        <v>110207</v>
      </c>
      <c r="G14" s="9">
        <v>29551</v>
      </c>
      <c r="H14" s="9">
        <v>6816</v>
      </c>
      <c r="I14" s="9">
        <f t="shared" si="0"/>
        <v>36367</v>
      </c>
      <c r="J14" s="9">
        <v>966</v>
      </c>
      <c r="K14" s="9">
        <v>223</v>
      </c>
      <c r="L14" s="9">
        <f>SUM(Marital[[#This Row],[Total Christian Male Population]:[Total Christian Female Population]])</f>
        <v>1189</v>
      </c>
      <c r="M14" s="9">
        <v>1232</v>
      </c>
      <c r="N14" s="9">
        <v>361</v>
      </c>
      <c r="O14" s="9">
        <f>SUM(Marital[[#This Row],[Total  Sikh Male Population]:[Total  Sikh Female Population]])</f>
        <v>1593</v>
      </c>
      <c r="P14" s="9">
        <v>81</v>
      </c>
      <c r="Q14" s="9">
        <v>29</v>
      </c>
      <c r="R14" s="9">
        <f t="shared" si="1"/>
        <v>110</v>
      </c>
      <c r="S14" s="9">
        <v>240</v>
      </c>
      <c r="T14" s="9">
        <v>65</v>
      </c>
      <c r="U14" s="9">
        <f>SUM(Marital[[#This Row],[Tota Jain Male Population]:[Tota Jain Female Population]])</f>
        <v>305</v>
      </c>
      <c r="V14" s="9">
        <v>24</v>
      </c>
      <c r="W14" s="9">
        <v>8</v>
      </c>
      <c r="X14" s="23">
        <f>SUM(Marital[[#This Row],[Other Male Population]:[Other Female Population]])</f>
        <v>32</v>
      </c>
      <c r="Y14" s="9">
        <f t="shared" si="2"/>
        <v>149803</v>
      </c>
    </row>
    <row r="15" spans="1:27" x14ac:dyDescent="0.35">
      <c r="A15" s="6" t="s">
        <v>0</v>
      </c>
      <c r="B15" s="22" t="s">
        <v>3</v>
      </c>
      <c r="C15" s="10" t="s">
        <v>41</v>
      </c>
      <c r="D15" s="9">
        <v>3719</v>
      </c>
      <c r="E15" s="9">
        <v>1612</v>
      </c>
      <c r="F15" s="9">
        <f>SUM(Marital[[#This Row],[Total Hindu Male Population]:[Total Hindu Female Population]])</f>
        <v>5331</v>
      </c>
      <c r="G15" s="9">
        <v>1419</v>
      </c>
      <c r="H15" s="9">
        <v>403</v>
      </c>
      <c r="I15" s="9">
        <f t="shared" si="0"/>
        <v>1822</v>
      </c>
      <c r="J15" s="9">
        <v>48</v>
      </c>
      <c r="K15" s="9">
        <v>16</v>
      </c>
      <c r="L15" s="9">
        <f>SUM(Marital[[#This Row],[Total Christian Male Population]:[Total Christian Female Population]])</f>
        <v>64</v>
      </c>
      <c r="M15" s="9">
        <v>62</v>
      </c>
      <c r="N15" s="9">
        <v>25</v>
      </c>
      <c r="O15" s="9">
        <f>SUM(Marital[[#This Row],[Total  Sikh Male Population]:[Total  Sikh Female Population]])</f>
        <v>87</v>
      </c>
      <c r="P15" s="9">
        <v>5</v>
      </c>
      <c r="Q15" s="9">
        <v>3</v>
      </c>
      <c r="R15" s="9">
        <f t="shared" si="1"/>
        <v>8</v>
      </c>
      <c r="S15" s="9">
        <v>4</v>
      </c>
      <c r="T15" s="9">
        <v>1</v>
      </c>
      <c r="U15" s="9">
        <f>SUM(Marital[[#This Row],[Tota Jain Male Population]:[Tota Jain Female Population]])</f>
        <v>5</v>
      </c>
      <c r="V15" s="9">
        <v>2</v>
      </c>
      <c r="W15" s="9">
        <v>1</v>
      </c>
      <c r="X15" s="23">
        <f>SUM(Marital[[#This Row],[Other Male Population]:[Other Female Population]])</f>
        <v>3</v>
      </c>
      <c r="Y15" s="9">
        <f t="shared" si="2"/>
        <v>7320</v>
      </c>
    </row>
    <row r="16" spans="1:27" x14ac:dyDescent="0.35">
      <c r="A16" s="6" t="s">
        <v>0</v>
      </c>
      <c r="B16" s="22" t="s">
        <v>3</v>
      </c>
      <c r="C16" s="10" t="s">
        <v>42</v>
      </c>
      <c r="D16" s="9">
        <v>1645</v>
      </c>
      <c r="E16" s="9">
        <v>687</v>
      </c>
      <c r="F16" s="9">
        <f>SUM(Marital[[#This Row],[Total Hindu Male Population]:[Total Hindu Female Population]])</f>
        <v>2332</v>
      </c>
      <c r="G16" s="9">
        <v>1359</v>
      </c>
      <c r="H16" s="9">
        <v>340</v>
      </c>
      <c r="I16" s="9">
        <f t="shared" si="0"/>
        <v>1699</v>
      </c>
      <c r="J16" s="9">
        <v>32</v>
      </c>
      <c r="K16" s="9">
        <v>11</v>
      </c>
      <c r="L16" s="9">
        <f>SUM(Marital[[#This Row],[Total Christian Male Population]:[Total Christian Female Population]])</f>
        <v>43</v>
      </c>
      <c r="M16" s="9">
        <v>38</v>
      </c>
      <c r="N16" s="9">
        <v>14</v>
      </c>
      <c r="O16" s="9">
        <f>SUM(Marital[[#This Row],[Total  Sikh Male Population]:[Total  Sikh Female Population]])</f>
        <v>52</v>
      </c>
      <c r="P16" s="9">
        <v>3</v>
      </c>
      <c r="Q16" s="9">
        <v>1</v>
      </c>
      <c r="R16" s="9">
        <f t="shared" si="1"/>
        <v>4</v>
      </c>
      <c r="S16" s="9">
        <v>4</v>
      </c>
      <c r="T16" s="9">
        <v>1</v>
      </c>
      <c r="U16" s="9">
        <f>SUM(Marital[[#This Row],[Tota Jain Male Population]:[Tota Jain Female Population]])</f>
        <v>5</v>
      </c>
      <c r="V16" s="9">
        <v>1</v>
      </c>
      <c r="W16" s="9">
        <v>1</v>
      </c>
      <c r="X16" s="23">
        <f>SUM(Marital[[#This Row],[Other Male Population]:[Other Female Population]])</f>
        <v>2</v>
      </c>
      <c r="Y16" s="9">
        <f t="shared" si="2"/>
        <v>4137</v>
      </c>
    </row>
    <row r="17" spans="1:25" x14ac:dyDescent="0.35">
      <c r="A17" s="6" t="s">
        <v>0</v>
      </c>
      <c r="B17" s="28" t="s">
        <v>3</v>
      </c>
      <c r="C17" s="29" t="s">
        <v>43</v>
      </c>
      <c r="D17" s="21">
        <v>0</v>
      </c>
      <c r="E17" s="21">
        <v>0</v>
      </c>
      <c r="F17" s="21">
        <f>SUM(Marital[[#This Row],[Total Hindu Male Population]:[Total Hindu Female Population]])</f>
        <v>0</v>
      </c>
      <c r="G17" s="21">
        <v>0</v>
      </c>
      <c r="H17" s="21">
        <v>0</v>
      </c>
      <c r="I17" s="21">
        <f t="shared" si="0"/>
        <v>0</v>
      </c>
      <c r="J17" s="21">
        <v>0</v>
      </c>
      <c r="K17" s="21">
        <v>0</v>
      </c>
      <c r="L17" s="21">
        <f>SUM(Marital[[#This Row],[Total Christian Male Population]:[Total Christian Female Population]])</f>
        <v>0</v>
      </c>
      <c r="M17" s="21">
        <v>0</v>
      </c>
      <c r="N17" s="21">
        <v>0</v>
      </c>
      <c r="O17" s="21">
        <f>SUM(Marital[[#This Row],[Total  Sikh Male Population]:[Total  Sikh Female Population]])</f>
        <v>0</v>
      </c>
      <c r="P17" s="21">
        <v>0</v>
      </c>
      <c r="Q17" s="21">
        <v>0</v>
      </c>
      <c r="R17" s="21">
        <f t="shared" si="1"/>
        <v>0</v>
      </c>
      <c r="S17" s="21">
        <v>0</v>
      </c>
      <c r="T17" s="21">
        <v>0</v>
      </c>
      <c r="U17" s="21">
        <f>SUM(Marital[[#This Row],[Tota Jain Male Population]:[Tota Jain Female Population]])</f>
        <v>0</v>
      </c>
      <c r="V17" s="21">
        <v>0</v>
      </c>
      <c r="W17" s="21">
        <v>0</v>
      </c>
      <c r="X17" s="30">
        <f>SUM(Marital[[#This Row],[Other Male Population]:[Other Female Population]])</f>
        <v>0</v>
      </c>
      <c r="Y17" s="21">
        <f t="shared" si="2"/>
        <v>0</v>
      </c>
    </row>
    <row r="18" spans="1:25" x14ac:dyDescent="0.35">
      <c r="B18" s="28"/>
      <c r="C18" s="29"/>
      <c r="D18" s="21"/>
      <c r="E18" s="21"/>
      <c r="F18" s="21"/>
      <c r="G18" s="21"/>
      <c r="H18" s="21"/>
      <c r="I18" s="21"/>
      <c r="J18" s="21"/>
      <c r="K18" s="21"/>
      <c r="L18" s="21"/>
      <c r="M18" s="21"/>
      <c r="N18" s="21"/>
      <c r="O18" s="21"/>
      <c r="P18" s="21"/>
      <c r="Q18" s="21"/>
      <c r="R18" s="21"/>
      <c r="S18" s="21"/>
      <c r="T18" s="21"/>
      <c r="U18" s="21"/>
      <c r="V18" s="21"/>
      <c r="W18" s="21"/>
      <c r="X18" s="30"/>
      <c r="Y18" s="72">
        <f>SUM(Y4,Y11)</f>
        <v>6964479</v>
      </c>
    </row>
    <row r="20" spans="1:25" x14ac:dyDescent="0.35">
      <c r="A20" s="88" t="s">
        <v>118</v>
      </c>
      <c r="B20" s="88"/>
      <c r="C20" s="88"/>
      <c r="D20" s="66">
        <f>F4/SUM(F4,I4,L4,O4,R4,U4,X4)</f>
        <v>0.87882520658914198</v>
      </c>
    </row>
    <row r="21" spans="1:25" x14ac:dyDescent="0.35">
      <c r="A21" s="88" t="s">
        <v>119</v>
      </c>
      <c r="B21" s="88"/>
      <c r="C21" s="88"/>
      <c r="D21" s="66">
        <f>F11/SUM(F11,I11,L11,O11,R11,U11,X11)</f>
        <v>0.72071187047821672</v>
      </c>
    </row>
    <row r="22" spans="1:25" x14ac:dyDescent="0.35">
      <c r="A22" s="88" t="s">
        <v>120</v>
      </c>
      <c r="B22" s="88"/>
      <c r="C22" s="88"/>
      <c r="D22" s="66">
        <f>I4/SUM(F4,I4,L4,O4,R4,U4,X4)</f>
        <v>0.11812429610431903</v>
      </c>
      <c r="F22" s="37" t="s">
        <v>85</v>
      </c>
      <c r="G22" t="s">
        <v>130</v>
      </c>
      <c r="H22" t="s">
        <v>131</v>
      </c>
      <c r="I22" t="s">
        <v>132</v>
      </c>
      <c r="J22" t="s">
        <v>133</v>
      </c>
      <c r="K22" t="s">
        <v>134</v>
      </c>
      <c r="L22" t="s">
        <v>135</v>
      </c>
      <c r="M22" t="s">
        <v>136</v>
      </c>
    </row>
    <row r="23" spans="1:25" x14ac:dyDescent="0.35">
      <c r="A23" s="88" t="s">
        <v>121</v>
      </c>
      <c r="B23" s="88"/>
      <c r="C23" s="88"/>
      <c r="D23" s="66">
        <f>I11/SUM(F11,I11,L11,O11,R11,U11,X11)</f>
        <v>0.26321731154374289</v>
      </c>
      <c r="F23" s="38" t="s">
        <v>2</v>
      </c>
      <c r="G23">
        <v>4145074</v>
      </c>
      <c r="H23">
        <v>557146</v>
      </c>
      <c r="I23">
        <v>7412</v>
      </c>
      <c r="J23">
        <v>3192</v>
      </c>
      <c r="K23">
        <v>2866</v>
      </c>
      <c r="L23">
        <v>582</v>
      </c>
      <c r="M23">
        <v>336</v>
      </c>
    </row>
    <row r="24" spans="1:25" x14ac:dyDescent="0.35">
      <c r="A24" s="88" t="s">
        <v>122</v>
      </c>
      <c r="B24" s="88"/>
      <c r="C24" s="88"/>
      <c r="D24" s="66">
        <f>L4/SUM(F4,I4,L4,O4,R4,U4,X4)</f>
        <v>1.5714683094291491E-3</v>
      </c>
      <c r="F24" s="38" t="s">
        <v>3</v>
      </c>
      <c r="G24">
        <v>6639450</v>
      </c>
      <c r="H24">
        <v>2424850</v>
      </c>
      <c r="I24">
        <v>53732</v>
      </c>
      <c r="J24">
        <v>69720</v>
      </c>
      <c r="K24">
        <v>9040</v>
      </c>
      <c r="L24">
        <v>14384</v>
      </c>
      <c r="M24">
        <v>1174</v>
      </c>
    </row>
    <row r="25" spans="1:25" x14ac:dyDescent="0.35">
      <c r="A25" s="88" t="s">
        <v>123</v>
      </c>
      <c r="B25" s="88"/>
      <c r="C25" s="88"/>
      <c r="D25" s="66">
        <f>L11/SUM(F11,I11,L11,O11,R11,U11,X11)</f>
        <v>5.8326051441814518E-3</v>
      </c>
      <c r="F25" s="38" t="s">
        <v>86</v>
      </c>
      <c r="G25">
        <v>10784524</v>
      </c>
      <c r="H25">
        <v>2981996</v>
      </c>
      <c r="I25">
        <v>61144</v>
      </c>
      <c r="J25">
        <v>72912</v>
      </c>
      <c r="K25">
        <v>11906</v>
      </c>
      <c r="L25">
        <v>14966</v>
      </c>
      <c r="M25">
        <v>1510</v>
      </c>
    </row>
    <row r="26" spans="1:25" x14ac:dyDescent="0.35">
      <c r="A26" s="88" t="s">
        <v>124</v>
      </c>
      <c r="B26" s="88"/>
      <c r="C26" s="88"/>
      <c r="D26" s="66">
        <f>O4/SUM(F4,I4,L4,O4,R4,U4,X4)</f>
        <v>6.7675753422798753E-4</v>
      </c>
    </row>
    <row r="27" spans="1:25" x14ac:dyDescent="0.35">
      <c r="A27" s="88" t="s">
        <v>125</v>
      </c>
      <c r="B27" s="88"/>
      <c r="C27" s="88"/>
      <c r="D27" s="66">
        <f>O11/SUM(F11,I11,L11,O11,R11,U11,X11)</f>
        <v>7.5681015158998522E-3</v>
      </c>
    </row>
    <row r="28" spans="1:25" x14ac:dyDescent="0.35">
      <c r="A28" s="88" t="s">
        <v>126</v>
      </c>
      <c r="B28" s="88"/>
      <c r="C28" s="88"/>
      <c r="D28" s="66">
        <f>R4/SUM(F4,I4,L4,O4,R4,U4,X4)</f>
        <v>6.0764006675984093E-4</v>
      </c>
    </row>
    <row r="29" spans="1:25" x14ac:dyDescent="0.35">
      <c r="A29" s="88" t="s">
        <v>127</v>
      </c>
      <c r="B29" s="88"/>
      <c r="C29" s="88"/>
      <c r="D29" s="66">
        <f>R11/SUM(F11,I11,L11,O11,R11,U11,X11)</f>
        <v>9.8129141858483457E-4</v>
      </c>
    </row>
    <row r="30" spans="1:25" x14ac:dyDescent="0.35">
      <c r="A30" s="88" t="s">
        <v>128</v>
      </c>
      <c r="B30" s="88"/>
      <c r="C30" s="88"/>
      <c r="D30" s="66">
        <f>U4/SUM(F4,I4,L4,O4,R4,U4,X4)</f>
        <v>1.233937609400654E-4</v>
      </c>
    </row>
    <row r="31" spans="1:25" x14ac:dyDescent="0.35">
      <c r="A31" s="88" t="s">
        <v>129</v>
      </c>
      <c r="B31" s="88"/>
      <c r="C31" s="88"/>
      <c r="D31" s="66">
        <f>U11/SUM(F11,I11,L11,O11,R11,U11,X11)</f>
        <v>1.5613822748810021E-3</v>
      </c>
    </row>
    <row r="33" spans="1:8" x14ac:dyDescent="0.35">
      <c r="A33" s="90" t="s">
        <v>137</v>
      </c>
      <c r="B33" s="90"/>
      <c r="C33" s="61">
        <f>SUM(F4,F11)</f>
        <v>5392262</v>
      </c>
    </row>
    <row r="34" spans="1:8" x14ac:dyDescent="0.35">
      <c r="A34" s="90" t="s">
        <v>138</v>
      </c>
      <c r="B34" s="90"/>
      <c r="C34" s="61">
        <f>SUM(I4,I11)</f>
        <v>1490998</v>
      </c>
    </row>
    <row r="35" spans="1:8" x14ac:dyDescent="0.35">
      <c r="A35" s="90" t="s">
        <v>139</v>
      </c>
      <c r="B35" s="90"/>
      <c r="C35" s="61">
        <f>SUM(L4,L11)</f>
        <v>30572</v>
      </c>
      <c r="E35" s="64" t="s">
        <v>157</v>
      </c>
      <c r="F35" s="65">
        <f>Y6/Y4</f>
        <v>0.41433547159314488</v>
      </c>
    </row>
    <row r="36" spans="1:8" x14ac:dyDescent="0.35">
      <c r="A36" s="90" t="s">
        <v>140</v>
      </c>
      <c r="B36" s="90"/>
      <c r="C36" s="61">
        <f>SUM(O4,O11)</f>
        <v>36456</v>
      </c>
      <c r="E36" s="64" t="s">
        <v>156</v>
      </c>
      <c r="F36" s="65">
        <f>Y13/Y11</f>
        <v>0.46137217973698352</v>
      </c>
    </row>
    <row r="37" spans="1:8" x14ac:dyDescent="0.35">
      <c r="A37" s="90" t="s">
        <v>141</v>
      </c>
      <c r="B37" s="90"/>
      <c r="C37" s="61">
        <f>SUM(R4,R11)</f>
        <v>5953</v>
      </c>
    </row>
    <row r="38" spans="1:8" x14ac:dyDescent="0.35">
      <c r="A38" s="90" t="s">
        <v>142</v>
      </c>
      <c r="B38" s="90"/>
      <c r="C38" s="61">
        <f>SUM(U4,U11)</f>
        <v>7483</v>
      </c>
    </row>
    <row r="39" spans="1:8" x14ac:dyDescent="0.35">
      <c r="A39" s="90" t="s">
        <v>143</v>
      </c>
      <c r="B39" s="90"/>
      <c r="C39" s="61">
        <f>SUM(X4,X11)</f>
        <v>755</v>
      </c>
    </row>
    <row r="41" spans="1:8" x14ac:dyDescent="0.35">
      <c r="A41" s="91" t="s">
        <v>144</v>
      </c>
      <c r="B41" s="91"/>
      <c r="C41" s="63">
        <f>SUM(D4,D11)</f>
        <v>3537787</v>
      </c>
    </row>
    <row r="42" spans="1:8" x14ac:dyDescent="0.35">
      <c r="A42" s="91" t="s">
        <v>145</v>
      </c>
      <c r="B42" s="91"/>
      <c r="C42" s="63">
        <f>SUM(E4,E11)</f>
        <v>1854475</v>
      </c>
    </row>
    <row r="43" spans="1:8" x14ac:dyDescent="0.35">
      <c r="A43" s="91" t="s">
        <v>146</v>
      </c>
      <c r="B43" s="91"/>
      <c r="C43" s="63">
        <f>SUM(G4,G11)</f>
        <v>985070</v>
      </c>
    </row>
    <row r="44" spans="1:8" x14ac:dyDescent="0.35">
      <c r="A44" s="91" t="s">
        <v>147</v>
      </c>
      <c r="B44" s="91"/>
      <c r="C44" s="63">
        <f>SUM(H4,H11)</f>
        <v>505928</v>
      </c>
    </row>
    <row r="45" spans="1:8" x14ac:dyDescent="0.35">
      <c r="A45" s="91" t="s">
        <v>148</v>
      </c>
      <c r="B45" s="91"/>
      <c r="C45" s="63">
        <f>SUM(J4,J11)</f>
        <v>20493</v>
      </c>
    </row>
    <row r="46" spans="1:8" x14ac:dyDescent="0.35">
      <c r="A46" s="91" t="s">
        <v>149</v>
      </c>
      <c r="B46" s="91"/>
      <c r="C46" s="63">
        <f>SUM(K4,K11)</f>
        <v>10079</v>
      </c>
    </row>
    <row r="47" spans="1:8" x14ac:dyDescent="0.35">
      <c r="A47" s="91" t="s">
        <v>150</v>
      </c>
      <c r="B47" s="91"/>
      <c r="C47" s="63">
        <f>SUM(M4,M11)</f>
        <v>23883</v>
      </c>
      <c r="G47" s="73" t="s">
        <v>171</v>
      </c>
      <c r="H47" s="74">
        <f>SUM(Y6,Y13)/Marital[[#Totals],[Total Population]]</f>
        <v>0.44544466283838319</v>
      </c>
    </row>
    <row r="48" spans="1:8" x14ac:dyDescent="0.35">
      <c r="A48" s="91" t="s">
        <v>151</v>
      </c>
      <c r="B48" s="91"/>
      <c r="C48" s="63">
        <f>SUM(N4,N11)</f>
        <v>12573</v>
      </c>
      <c r="G48" s="73" t="s">
        <v>172</v>
      </c>
      <c r="H48" s="75">
        <f>SUM(Y9,Y16)/Marital[[#Totals],[Total Population]]</f>
        <v>9.4608656297190353E-4</v>
      </c>
    </row>
    <row r="49" spans="1:3" x14ac:dyDescent="0.35">
      <c r="A49" s="91" t="s">
        <v>152</v>
      </c>
      <c r="B49" s="91"/>
      <c r="C49" s="63">
        <f>SUM(P4,P11)</f>
        <v>3877</v>
      </c>
    </row>
    <row r="50" spans="1:3" x14ac:dyDescent="0.35">
      <c r="A50" s="91" t="s">
        <v>153</v>
      </c>
      <c r="B50" s="91"/>
      <c r="C50" s="63">
        <f>SUM(Q4,Q11)</f>
        <v>2076</v>
      </c>
    </row>
    <row r="51" spans="1:3" x14ac:dyDescent="0.35">
      <c r="A51" s="91" t="s">
        <v>154</v>
      </c>
      <c r="B51" s="91"/>
      <c r="C51" s="63">
        <f>SUM(S4,S11)</f>
        <v>4975</v>
      </c>
    </row>
    <row r="52" spans="1:3" x14ac:dyDescent="0.35">
      <c r="A52" s="91" t="s">
        <v>155</v>
      </c>
      <c r="B52" s="91"/>
      <c r="C52" s="63">
        <f>SUM(T4,T11)</f>
        <v>2508</v>
      </c>
    </row>
  </sheetData>
  <mergeCells count="32">
    <mergeCell ref="A51:B51"/>
    <mergeCell ref="A52:B52"/>
    <mergeCell ref="A46:B46"/>
    <mergeCell ref="A47:B47"/>
    <mergeCell ref="A48:B48"/>
    <mergeCell ref="A49:B49"/>
    <mergeCell ref="A50:B50"/>
    <mergeCell ref="A41:B41"/>
    <mergeCell ref="A42:B42"/>
    <mergeCell ref="A43:B43"/>
    <mergeCell ref="A44:B44"/>
    <mergeCell ref="A45:B45"/>
    <mergeCell ref="A31:C31"/>
    <mergeCell ref="A36:B36"/>
    <mergeCell ref="A37:B37"/>
    <mergeCell ref="A38:B38"/>
    <mergeCell ref="A39:B39"/>
    <mergeCell ref="A33:B33"/>
    <mergeCell ref="A34:B34"/>
    <mergeCell ref="A35:B35"/>
    <mergeCell ref="A20:C20"/>
    <mergeCell ref="A21:C21"/>
    <mergeCell ref="A22:C22"/>
    <mergeCell ref="A23:C23"/>
    <mergeCell ref="A1:Y2"/>
    <mergeCell ref="A29:C29"/>
    <mergeCell ref="A28:C28"/>
    <mergeCell ref="A27:C27"/>
    <mergeCell ref="A30:C30"/>
    <mergeCell ref="A24:C24"/>
    <mergeCell ref="A25:C25"/>
    <mergeCell ref="A26:C26"/>
  </mergeCells>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EA9F2-50CA-4839-8514-B0E0521AE236}">
  <dimension ref="A1:AS15"/>
  <sheetViews>
    <sheetView topLeftCell="K1" zoomScale="43" zoomScaleNormal="55" workbookViewId="0">
      <selection activeCell="AR59" sqref="AR59"/>
    </sheetView>
  </sheetViews>
  <sheetFormatPr defaultRowHeight="14.5" x14ac:dyDescent="0.35"/>
  <sheetData>
    <row r="1" spans="1:45" x14ac:dyDescent="0.35">
      <c r="A1" s="92"/>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row>
    <row r="2" spans="1:45" x14ac:dyDescent="0.35">
      <c r="A2" s="92"/>
      <c r="B2" s="92"/>
      <c r="C2" s="92"/>
      <c r="D2" s="92"/>
      <c r="E2" s="92"/>
      <c r="F2" s="92"/>
      <c r="G2" s="92"/>
      <c r="H2" s="92"/>
      <c r="I2" s="92"/>
      <c r="J2" s="92"/>
      <c r="K2" s="92"/>
      <c r="L2" s="92"/>
      <c r="M2" s="92"/>
      <c r="N2" s="92"/>
      <c r="O2" s="92"/>
      <c r="P2" s="92"/>
      <c r="Q2" s="92"/>
      <c r="R2" s="92"/>
      <c r="S2" s="92"/>
      <c r="T2" s="92"/>
      <c r="U2" s="92"/>
      <c r="V2" s="92"/>
      <c r="W2" s="92"/>
      <c r="X2" s="92"/>
      <c r="Y2" s="92"/>
      <c r="Z2" s="92"/>
      <c r="AA2" s="92"/>
      <c r="AB2" s="92"/>
      <c r="AC2" s="92"/>
      <c r="AD2" s="92"/>
      <c r="AE2" s="92"/>
      <c r="AF2" s="92"/>
      <c r="AG2" s="92"/>
      <c r="AH2" s="92"/>
      <c r="AI2" s="92"/>
      <c r="AJ2" s="92"/>
      <c r="AK2" s="92"/>
      <c r="AL2" s="92"/>
      <c r="AM2" s="92"/>
      <c r="AN2" s="92"/>
    </row>
    <row r="3" spans="1:45" x14ac:dyDescent="0.35">
      <c r="A3" s="92"/>
      <c r="B3" s="92"/>
      <c r="C3" s="92"/>
      <c r="D3" s="92"/>
      <c r="E3" s="92"/>
      <c r="F3" s="92"/>
      <c r="G3" s="92"/>
      <c r="H3" s="92"/>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row>
    <row r="4" spans="1:45" x14ac:dyDescent="0.35">
      <c r="A4" s="92"/>
      <c r="B4" s="92"/>
      <c r="C4" s="92"/>
      <c r="D4" s="92"/>
      <c r="E4" s="92"/>
      <c r="F4" s="92"/>
      <c r="G4" s="92"/>
      <c r="H4" s="92"/>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row>
    <row r="15" spans="1:45" x14ac:dyDescent="0.35">
      <c r="AS15" s="5"/>
    </row>
  </sheetData>
  <mergeCells count="1">
    <mergeCell ref="A1:AN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C32F3B-B44B-43C4-A5AE-661612A24C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Surviving Children </vt:lpstr>
      <vt:lpstr>Population</vt:lpstr>
      <vt:lpstr>Education</vt:lpstr>
      <vt:lpstr>Marital Status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anvaya singh</dc:creator>
  <cp:lastModifiedBy>anvaya singh</cp:lastModifiedBy>
  <dcterms:created xsi:type="dcterms:W3CDTF">2025-10-04T15:44:01Z</dcterms:created>
  <dcterms:modified xsi:type="dcterms:W3CDTF">2025-11-01T05:02:41Z</dcterms:modified>
</cp:coreProperties>
</file>